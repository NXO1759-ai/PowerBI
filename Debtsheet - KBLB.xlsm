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725" codeName="{DD97A8EA-9A9A-E61F-A557-7D5A7D7259CE}"/>
  <workbookPr date1904="1" codeName="ThisWorkbook" hidePivotFieldList="1" autoCompressPictures="0"/>
  <mc:AlternateContent xmlns:mc="http://schemas.openxmlformats.org/markup-compatibility/2006">
    <mc:Choice Requires="x15">
      <x15ac:absPath xmlns:x15ac="http://schemas.microsoft.com/office/spreadsheetml/2010/11/ac" url="C:\Users\co149\Desktop\Mentored Study Program\SY\Project Owen\Fwd_ Intern Training\"/>
    </mc:Choice>
  </mc:AlternateContent>
  <xr:revisionPtr revIDLastSave="0" documentId="13_ncr:1_{54E2748F-29D9-4CE2-8860-7551ACBD5612}" xr6:coauthVersionLast="47" xr6:coauthVersionMax="47" xr10:uidLastSave="{00000000-0000-0000-0000-000000000000}"/>
  <bookViews>
    <workbookView xWindow="-110" yWindow="-110" windowWidth="19420" windowHeight="11500" activeTab="1" xr2:uid="{00000000-000D-0000-FFFF-FFFF00000000}"/>
  </bookViews>
  <sheets>
    <sheet name="Instructions" sheetId="6" r:id="rId1"/>
    <sheet name="KBLB" sheetId="1" r:id="rId2"/>
    <sheet name="Data" sheetId="2" r:id="rId3"/>
    <sheet name="Filtered Data" sheetId="5" state="hidden" r:id="rId4"/>
    <sheet name="10QDropDownList" sheetId="4" state="hidden" r:id="rId5"/>
  </sheets>
  <definedNames>
    <definedName name="BIGNUM">9.99999999999999E+307</definedName>
    <definedName name="List10q10k">'10QDropDownList'!$A$1:$A$2</definedName>
    <definedName name="_xlnm.Print_Area" localSheetId="1">KBLB!$A$1:$P$83</definedName>
  </definedNames>
  <calcPr calcId="191029" iterateDelta="9.999999999999445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I58" i="1" l="1"/>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I50" i="1" l="1"/>
  <c r="I51" i="1" s="1"/>
  <c r="J50" i="1" l="1"/>
  <c r="J51" i="1" s="1"/>
  <c r="I52" i="1" l="1"/>
  <c r="P54" i="1" l="1"/>
  <c r="P53" i="1"/>
  <c r="P52" i="1"/>
  <c r="P51" i="1"/>
  <c r="P50" i="1"/>
  <c r="G131" i="2"/>
  <c r="H131" i="2"/>
  <c r="I131" i="2"/>
  <c r="G132" i="2"/>
  <c r="H132" i="2"/>
  <c r="I132" i="2"/>
  <c r="G133" i="2"/>
  <c r="H133" i="2"/>
  <c r="I133" i="2"/>
  <c r="G134" i="2"/>
  <c r="H134" i="2"/>
  <c r="I134" i="2"/>
  <c r="G135" i="2"/>
  <c r="H135" i="2"/>
  <c r="I135" i="2"/>
  <c r="G136" i="2"/>
  <c r="H136" i="2"/>
  <c r="I136" i="2"/>
  <c r="E4" i="5"/>
  <c r="E5" i="5"/>
  <c r="E6" i="5"/>
  <c r="E7" i="5"/>
  <c r="E8" i="5"/>
  <c r="E9" i="5"/>
  <c r="E10" i="5"/>
  <c r="E11" i="5"/>
  <c r="E12" i="5"/>
  <c r="E13" i="5"/>
  <c r="E14" i="5"/>
  <c r="E15" i="5"/>
  <c r="E16" i="5"/>
  <c r="E17" i="5"/>
  <c r="E18" i="5"/>
  <c r="E19" i="5"/>
  <c r="E20" i="5"/>
  <c r="E21" i="5"/>
  <c r="E22" i="5"/>
  <c r="E23" i="5"/>
  <c r="E24" i="5"/>
  <c r="E3" i="5"/>
  <c r="J76" i="1"/>
  <c r="L62" i="1"/>
  <c r="J63" i="1"/>
  <c r="J64" i="1" s="1"/>
  <c r="J58" i="1"/>
  <c r="J52" i="1"/>
  <c r="I63" i="1"/>
  <c r="I64" i="1" s="1"/>
  <c r="H8" i="2"/>
  <c r="B3" i="5" s="1"/>
  <c r="I8" i="2"/>
  <c r="H9" i="2"/>
  <c r="B4" i="5" s="1"/>
  <c r="I9" i="2"/>
  <c r="C4" i="5" s="1"/>
  <c r="H10" i="2"/>
  <c r="B5" i="5" s="1"/>
  <c r="I10" i="2"/>
  <c r="C5" i="5" s="1"/>
  <c r="H11" i="2"/>
  <c r="B6" i="5" s="1"/>
  <c r="I11" i="2"/>
  <c r="C6" i="5" s="1"/>
  <c r="H12" i="2"/>
  <c r="B7" i="5" s="1"/>
  <c r="I12" i="2"/>
  <c r="C7" i="5" s="1"/>
  <c r="H13" i="2"/>
  <c r="B8" i="5" s="1"/>
  <c r="I13" i="2"/>
  <c r="C8" i="5" s="1"/>
  <c r="H14" i="2"/>
  <c r="B9" i="5" s="1"/>
  <c r="I14" i="2"/>
  <c r="C9" i="5" s="1"/>
  <c r="H15" i="2"/>
  <c r="B10" i="5" s="1"/>
  <c r="I15" i="2"/>
  <c r="C10" i="5" s="1"/>
  <c r="H16" i="2"/>
  <c r="B11" i="5" s="1"/>
  <c r="I16" i="2"/>
  <c r="C11" i="5" s="1"/>
  <c r="H17" i="2"/>
  <c r="B12" i="5" s="1"/>
  <c r="I17" i="2"/>
  <c r="C12" i="5" s="1"/>
  <c r="H18" i="2"/>
  <c r="B13" i="5" s="1"/>
  <c r="I18" i="2"/>
  <c r="H19" i="2"/>
  <c r="B14" i="5" s="1"/>
  <c r="I19" i="2"/>
  <c r="C14" i="5" s="1"/>
  <c r="H20" i="2"/>
  <c r="B15" i="5" s="1"/>
  <c r="I20" i="2"/>
  <c r="C15" i="5" s="1"/>
  <c r="H21" i="2"/>
  <c r="B16" i="5" s="1"/>
  <c r="I21" i="2"/>
  <c r="C16" i="5" s="1"/>
  <c r="H22" i="2"/>
  <c r="B17" i="5" s="1"/>
  <c r="I22" i="2"/>
  <c r="C17" i="5" s="1"/>
  <c r="H23" i="2"/>
  <c r="B18" i="5" s="1"/>
  <c r="I23" i="2"/>
  <c r="C18" i="5" s="1"/>
  <c r="H24" i="2"/>
  <c r="B19" i="5" s="1"/>
  <c r="I24" i="2"/>
  <c r="H25" i="2"/>
  <c r="I25" i="2"/>
  <c r="C20" i="5" s="1"/>
  <c r="H26" i="2"/>
  <c r="B21" i="5" s="1"/>
  <c r="I26" i="2"/>
  <c r="C21" i="5" s="1"/>
  <c r="H27" i="2"/>
  <c r="B22" i="5" s="1"/>
  <c r="I27" i="2"/>
  <c r="C22" i="5" s="1"/>
  <c r="H28" i="2"/>
  <c r="B23" i="5" s="1"/>
  <c r="I28" i="2"/>
  <c r="C23" i="5" s="1"/>
  <c r="H29" i="2"/>
  <c r="B24" i="5" s="1"/>
  <c r="I29" i="2"/>
  <c r="C24" i="5" s="1"/>
  <c r="H30" i="2"/>
  <c r="B25" i="5" s="1"/>
  <c r="I30" i="2"/>
  <c r="H31" i="2"/>
  <c r="B26" i="5" s="1"/>
  <c r="I31" i="2"/>
  <c r="C26" i="5" s="1"/>
  <c r="H32" i="2"/>
  <c r="B27" i="5" s="1"/>
  <c r="I32" i="2"/>
  <c r="C27" i="5" s="1"/>
  <c r="H33" i="2"/>
  <c r="B28" i="5" s="1"/>
  <c r="I33" i="2"/>
  <c r="C28" i="5" s="1"/>
  <c r="H34" i="2"/>
  <c r="B29" i="5" s="1"/>
  <c r="I34" i="2"/>
  <c r="C29" i="5" s="1"/>
  <c r="H35" i="2"/>
  <c r="B30" i="5" s="1"/>
  <c r="I35" i="2"/>
  <c r="C30" i="5" s="1"/>
  <c r="H36" i="2"/>
  <c r="B31" i="5" s="1"/>
  <c r="I36" i="2"/>
  <c r="C31" i="5" s="1"/>
  <c r="H37" i="2"/>
  <c r="B32" i="5" s="1"/>
  <c r="I37" i="2"/>
  <c r="C32" i="5" s="1"/>
  <c r="H38" i="2"/>
  <c r="B33" i="5" s="1"/>
  <c r="I38" i="2"/>
  <c r="C33" i="5" s="1"/>
  <c r="H39" i="2"/>
  <c r="B34" i="5" s="1"/>
  <c r="I39" i="2"/>
  <c r="C34" i="5" s="1"/>
  <c r="H40" i="2"/>
  <c r="B35" i="5" s="1"/>
  <c r="I40" i="2"/>
  <c r="C35" i="5" s="1"/>
  <c r="H41" i="2"/>
  <c r="B36" i="5" s="1"/>
  <c r="I41" i="2"/>
  <c r="C36" i="5" s="1"/>
  <c r="H42" i="2"/>
  <c r="B37" i="5" s="1"/>
  <c r="I42" i="2"/>
  <c r="C37" i="5" s="1"/>
  <c r="H43" i="2"/>
  <c r="B38" i="5" s="1"/>
  <c r="I43" i="2"/>
  <c r="C38" i="5" s="1"/>
  <c r="H44" i="2"/>
  <c r="B39" i="5" s="1"/>
  <c r="I44" i="2"/>
  <c r="C39" i="5" s="1"/>
  <c r="H45" i="2"/>
  <c r="B40" i="5" s="1"/>
  <c r="I45" i="2"/>
  <c r="C40" i="5" s="1"/>
  <c r="H46" i="2"/>
  <c r="B41" i="5" s="1"/>
  <c r="I46" i="2"/>
  <c r="C41" i="5" s="1"/>
  <c r="H47" i="2"/>
  <c r="B42" i="5" s="1"/>
  <c r="I47" i="2"/>
  <c r="C42" i="5" s="1"/>
  <c r="H48" i="2"/>
  <c r="B43" i="5" s="1"/>
  <c r="I48" i="2"/>
  <c r="C43" i="5" s="1"/>
  <c r="H49" i="2"/>
  <c r="I49" i="2"/>
  <c r="C44" i="5" s="1"/>
  <c r="H50" i="2"/>
  <c r="B45" i="5" s="1"/>
  <c r="I50" i="2"/>
  <c r="C45" i="5" s="1"/>
  <c r="H51" i="2"/>
  <c r="B46" i="5" s="1"/>
  <c r="I51" i="2"/>
  <c r="C46" i="5" s="1"/>
  <c r="H52" i="2"/>
  <c r="B47" i="5" s="1"/>
  <c r="I52" i="2"/>
  <c r="C47" i="5" s="1"/>
  <c r="H53" i="2"/>
  <c r="B48" i="5" s="1"/>
  <c r="I53" i="2"/>
  <c r="C48" i="5" s="1"/>
  <c r="H54" i="2"/>
  <c r="B49" i="5" s="1"/>
  <c r="I54" i="2"/>
  <c r="H55" i="2"/>
  <c r="B50" i="5" s="1"/>
  <c r="I55" i="2"/>
  <c r="C50" i="5" s="1"/>
  <c r="H56" i="2"/>
  <c r="B51" i="5" s="1"/>
  <c r="I56" i="2"/>
  <c r="C51" i="5" s="1"/>
  <c r="H57" i="2"/>
  <c r="B52" i="5" s="1"/>
  <c r="I57" i="2"/>
  <c r="C52" i="5" s="1"/>
  <c r="H58" i="2"/>
  <c r="B53" i="5" s="1"/>
  <c r="I58" i="2"/>
  <c r="C53" i="5" s="1"/>
  <c r="H59" i="2"/>
  <c r="B54" i="5" s="1"/>
  <c r="I59" i="2"/>
  <c r="C54" i="5" s="1"/>
  <c r="H60" i="2"/>
  <c r="B55" i="5" s="1"/>
  <c r="I60" i="2"/>
  <c r="C55" i="5" s="1"/>
  <c r="H61" i="2"/>
  <c r="B56" i="5" s="1"/>
  <c r="I61" i="2"/>
  <c r="C56" i="5" s="1"/>
  <c r="H62" i="2"/>
  <c r="B57" i="5" s="1"/>
  <c r="I62" i="2"/>
  <c r="C57" i="5" s="1"/>
  <c r="H63" i="2"/>
  <c r="B58" i="5" s="1"/>
  <c r="I63" i="2"/>
  <c r="C58" i="5" s="1"/>
  <c r="H64" i="2"/>
  <c r="B59" i="5" s="1"/>
  <c r="I64" i="2"/>
  <c r="C59" i="5" s="1"/>
  <c r="H65" i="2"/>
  <c r="B60" i="5" s="1"/>
  <c r="I65" i="2"/>
  <c r="C60" i="5" s="1"/>
  <c r="H66" i="2"/>
  <c r="B61" i="5" s="1"/>
  <c r="I66" i="2"/>
  <c r="C61" i="5" s="1"/>
  <c r="H67" i="2"/>
  <c r="B62" i="5" s="1"/>
  <c r="I67" i="2"/>
  <c r="C62" i="5" s="1"/>
  <c r="H68" i="2"/>
  <c r="B63" i="5" s="1"/>
  <c r="I68" i="2"/>
  <c r="C63" i="5" s="1"/>
  <c r="H69" i="2"/>
  <c r="B64" i="5" s="1"/>
  <c r="I69" i="2"/>
  <c r="C64" i="5" s="1"/>
  <c r="H70" i="2"/>
  <c r="B65" i="5" s="1"/>
  <c r="I70" i="2"/>
  <c r="C65" i="5" s="1"/>
  <c r="H71" i="2"/>
  <c r="B66" i="5" s="1"/>
  <c r="I71" i="2"/>
  <c r="C66" i="5" s="1"/>
  <c r="H72" i="2"/>
  <c r="B67" i="5" s="1"/>
  <c r="I72" i="2"/>
  <c r="C67" i="5" s="1"/>
  <c r="H73" i="2"/>
  <c r="B68" i="5" s="1"/>
  <c r="I73" i="2"/>
  <c r="C68" i="5" s="1"/>
  <c r="H74" i="2"/>
  <c r="B69" i="5" s="1"/>
  <c r="I74" i="2"/>
  <c r="C69" i="5" s="1"/>
  <c r="H75" i="2"/>
  <c r="B70" i="5" s="1"/>
  <c r="I75" i="2"/>
  <c r="C70" i="5" s="1"/>
  <c r="H76" i="2"/>
  <c r="B71" i="5" s="1"/>
  <c r="I76" i="2"/>
  <c r="C71" i="5" s="1"/>
  <c r="H77" i="2"/>
  <c r="B72" i="5" s="1"/>
  <c r="I77" i="2"/>
  <c r="C72" i="5" s="1"/>
  <c r="H78" i="2"/>
  <c r="B73" i="5" s="1"/>
  <c r="I78" i="2"/>
  <c r="C73" i="5" s="1"/>
  <c r="H79" i="2"/>
  <c r="B74" i="5" s="1"/>
  <c r="I79" i="2"/>
  <c r="C74" i="5" s="1"/>
  <c r="H80" i="2"/>
  <c r="B75" i="5" s="1"/>
  <c r="I80" i="2"/>
  <c r="C75" i="5" s="1"/>
  <c r="H81" i="2"/>
  <c r="B76" i="5" s="1"/>
  <c r="I81" i="2"/>
  <c r="C76" i="5" s="1"/>
  <c r="H82" i="2"/>
  <c r="B77" i="5" s="1"/>
  <c r="I82" i="2"/>
  <c r="C77" i="5" s="1"/>
  <c r="H83" i="2"/>
  <c r="B78" i="5" s="1"/>
  <c r="I83" i="2"/>
  <c r="C78" i="5" s="1"/>
  <c r="H84" i="2"/>
  <c r="B79" i="5" s="1"/>
  <c r="I84" i="2"/>
  <c r="C79" i="5" s="1"/>
  <c r="H85" i="2"/>
  <c r="B80" i="5" s="1"/>
  <c r="I85" i="2"/>
  <c r="C80" i="5" s="1"/>
  <c r="H86" i="2"/>
  <c r="B81" i="5" s="1"/>
  <c r="I86" i="2"/>
  <c r="C81" i="5" s="1"/>
  <c r="H87" i="2"/>
  <c r="B82" i="5" s="1"/>
  <c r="I87" i="2"/>
  <c r="C82" i="5" s="1"/>
  <c r="H88" i="2"/>
  <c r="B83" i="5" s="1"/>
  <c r="I88" i="2"/>
  <c r="C83" i="5" s="1"/>
  <c r="H89" i="2"/>
  <c r="B84" i="5" s="1"/>
  <c r="I89" i="2"/>
  <c r="C84" i="5" s="1"/>
  <c r="H90" i="2"/>
  <c r="B85" i="5" s="1"/>
  <c r="I90" i="2"/>
  <c r="C85" i="5" s="1"/>
  <c r="H91" i="2"/>
  <c r="B86" i="5" s="1"/>
  <c r="I91" i="2"/>
  <c r="C86" i="5" s="1"/>
  <c r="H92" i="2"/>
  <c r="B87" i="5" s="1"/>
  <c r="I92" i="2"/>
  <c r="C87" i="5" s="1"/>
  <c r="H93" i="2"/>
  <c r="B88" i="5" s="1"/>
  <c r="I93" i="2"/>
  <c r="C88" i="5" s="1"/>
  <c r="H94" i="2"/>
  <c r="B89" i="5" s="1"/>
  <c r="I94" i="2"/>
  <c r="C89" i="5" s="1"/>
  <c r="H95" i="2"/>
  <c r="B90" i="5" s="1"/>
  <c r="I95" i="2"/>
  <c r="C90" i="5" s="1"/>
  <c r="H96" i="2"/>
  <c r="B91" i="5" s="1"/>
  <c r="I96" i="2"/>
  <c r="C91" i="5" s="1"/>
  <c r="H97" i="2"/>
  <c r="B92" i="5" s="1"/>
  <c r="I97" i="2"/>
  <c r="C92" i="5" s="1"/>
  <c r="H98" i="2"/>
  <c r="B93" i="5" s="1"/>
  <c r="I98" i="2"/>
  <c r="C93" i="5" s="1"/>
  <c r="H99" i="2"/>
  <c r="B94" i="5" s="1"/>
  <c r="I99" i="2"/>
  <c r="C94" i="5" s="1"/>
  <c r="H100" i="2"/>
  <c r="B95" i="5" s="1"/>
  <c r="I100" i="2"/>
  <c r="C95" i="5" s="1"/>
  <c r="H101" i="2"/>
  <c r="B96" i="5" s="1"/>
  <c r="I101" i="2"/>
  <c r="C96" i="5" s="1"/>
  <c r="H102" i="2"/>
  <c r="B97" i="5" s="1"/>
  <c r="I102" i="2"/>
  <c r="C97" i="5" s="1"/>
  <c r="H103" i="2"/>
  <c r="B98" i="5" s="1"/>
  <c r="I103" i="2"/>
  <c r="C98" i="5" s="1"/>
  <c r="H104" i="2"/>
  <c r="B99" i="5" s="1"/>
  <c r="I104" i="2"/>
  <c r="C99" i="5" s="1"/>
  <c r="H105" i="2"/>
  <c r="I105" i="2"/>
  <c r="C100" i="5" s="1"/>
  <c r="H106" i="2"/>
  <c r="B101" i="5" s="1"/>
  <c r="I106" i="2"/>
  <c r="C101" i="5" s="1"/>
  <c r="H107" i="2"/>
  <c r="B102" i="5" s="1"/>
  <c r="I107" i="2"/>
  <c r="C102" i="5" s="1"/>
  <c r="H108" i="2"/>
  <c r="B103" i="5" s="1"/>
  <c r="I108" i="2"/>
  <c r="C103" i="5" s="1"/>
  <c r="H109" i="2"/>
  <c r="B104" i="5" s="1"/>
  <c r="I109" i="2"/>
  <c r="C104" i="5" s="1"/>
  <c r="H110" i="2"/>
  <c r="F4" i="5" s="1"/>
  <c r="I110" i="2"/>
  <c r="G4" i="5" s="1"/>
  <c r="H111" i="2"/>
  <c r="F5" i="5" s="1"/>
  <c r="I111" i="2"/>
  <c r="G5" i="5" s="1"/>
  <c r="H112" i="2"/>
  <c r="I112" i="2"/>
  <c r="G6" i="5" s="1"/>
  <c r="H113" i="2"/>
  <c r="F7" i="5" s="1"/>
  <c r="I113" i="2"/>
  <c r="C108" i="5" s="1"/>
  <c r="H114" i="2"/>
  <c r="F8" i="5" s="1"/>
  <c r="I114" i="2"/>
  <c r="G8" i="5" s="1"/>
  <c r="H115" i="2"/>
  <c r="B110" i="5" s="1"/>
  <c r="I115" i="2"/>
  <c r="G9" i="5" s="1"/>
  <c r="H116" i="2"/>
  <c r="I116" i="2"/>
  <c r="G10" i="5" s="1"/>
  <c r="H117" i="2"/>
  <c r="F11" i="5" s="1"/>
  <c r="I117" i="2"/>
  <c r="C112" i="5" s="1"/>
  <c r="H118" i="2"/>
  <c r="F12" i="5" s="1"/>
  <c r="I118" i="2"/>
  <c r="G12" i="5" s="1"/>
  <c r="H119" i="2"/>
  <c r="F13" i="5" s="1"/>
  <c r="I119" i="2"/>
  <c r="G13" i="5" s="1"/>
  <c r="H120" i="2"/>
  <c r="I120" i="2"/>
  <c r="G14" i="5" s="1"/>
  <c r="H121" i="2"/>
  <c r="F15" i="5" s="1"/>
  <c r="I121" i="2"/>
  <c r="C116" i="5" s="1"/>
  <c r="H122" i="2"/>
  <c r="F16" i="5" s="1"/>
  <c r="I122" i="2"/>
  <c r="G16" i="5" s="1"/>
  <c r="H123" i="2"/>
  <c r="F17" i="5" s="1"/>
  <c r="I123" i="2"/>
  <c r="G17" i="5" s="1"/>
  <c r="H124" i="2"/>
  <c r="I124" i="2"/>
  <c r="G18" i="5" s="1"/>
  <c r="H125" i="2"/>
  <c r="F19" i="5" s="1"/>
  <c r="I125" i="2"/>
  <c r="C120" i="5" s="1"/>
  <c r="H126" i="2"/>
  <c r="F20" i="5" s="1"/>
  <c r="I126" i="2"/>
  <c r="G20" i="5" s="1"/>
  <c r="H127" i="2"/>
  <c r="F21" i="5" s="1"/>
  <c r="I127" i="2"/>
  <c r="G21" i="5" s="1"/>
  <c r="H128" i="2"/>
  <c r="I128" i="2"/>
  <c r="G22" i="5" s="1"/>
  <c r="H129" i="2"/>
  <c r="F23" i="5" s="1"/>
  <c r="I129" i="2"/>
  <c r="G23" i="5" s="1"/>
  <c r="H130" i="2"/>
  <c r="F24" i="5" s="1"/>
  <c r="I130" i="2"/>
  <c r="G24" i="5" s="1"/>
  <c r="A4" i="5"/>
  <c r="A5" i="5"/>
  <c r="A6" i="5"/>
  <c r="A7" i="5"/>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58" i="5"/>
  <c r="A59" i="5"/>
  <c r="A60" i="5"/>
  <c r="A61" i="5"/>
  <c r="A62" i="5"/>
  <c r="A63" i="5"/>
  <c r="A64" i="5"/>
  <c r="A65" i="5"/>
  <c r="A66" i="5"/>
  <c r="A67" i="5"/>
  <c r="A68" i="5"/>
  <c r="A69" i="5"/>
  <c r="A70" i="5"/>
  <c r="A71" i="5"/>
  <c r="A72" i="5"/>
  <c r="A73" i="5"/>
  <c r="A74" i="5"/>
  <c r="A75" i="5"/>
  <c r="A76" i="5"/>
  <c r="A77" i="5"/>
  <c r="A78" i="5"/>
  <c r="A79" i="5"/>
  <c r="A80" i="5"/>
  <c r="A81" i="5"/>
  <c r="A82" i="5"/>
  <c r="A83" i="5"/>
  <c r="A84" i="5"/>
  <c r="A85" i="5"/>
  <c r="A86" i="5"/>
  <c r="A87" i="5"/>
  <c r="A88" i="5"/>
  <c r="A89" i="5"/>
  <c r="A90" i="5"/>
  <c r="A91" i="5"/>
  <c r="A92" i="5"/>
  <c r="A93" i="5"/>
  <c r="A94" i="5"/>
  <c r="A95" i="5"/>
  <c r="A96" i="5"/>
  <c r="A97" i="5"/>
  <c r="A98" i="5"/>
  <c r="A99" i="5"/>
  <c r="A100" i="5"/>
  <c r="A101" i="5"/>
  <c r="A102" i="5"/>
  <c r="A103" i="5"/>
  <c r="A104" i="5"/>
  <c r="A105" i="5"/>
  <c r="A106" i="5"/>
  <c r="A107" i="5"/>
  <c r="A108" i="5"/>
  <c r="A109" i="5"/>
  <c r="A110" i="5"/>
  <c r="A111" i="5"/>
  <c r="A112" i="5"/>
  <c r="A113" i="5"/>
  <c r="A114" i="5"/>
  <c r="A115" i="5"/>
  <c r="A116" i="5"/>
  <c r="A117" i="5"/>
  <c r="A118" i="5"/>
  <c r="A119" i="5"/>
  <c r="A120" i="5"/>
  <c r="A121" i="5"/>
  <c r="A122" i="5"/>
  <c r="A123" i="5"/>
  <c r="A124" i="5"/>
  <c r="A125" i="5"/>
  <c r="A3" i="5"/>
  <c r="B20" i="5"/>
  <c r="B44" i="5"/>
  <c r="B100" i="5"/>
  <c r="C13" i="5"/>
  <c r="C19" i="5"/>
  <c r="C25" i="5"/>
  <c r="C49" i="5"/>
  <c r="C121" i="5" l="1"/>
  <c r="C115" i="5"/>
  <c r="C113" i="5"/>
  <c r="B125" i="5"/>
  <c r="B105" i="5"/>
  <c r="C122" i="5"/>
  <c r="C106" i="5"/>
  <c r="B120" i="5"/>
  <c r="B112" i="5"/>
  <c r="F3" i="5"/>
  <c r="B124" i="5"/>
  <c r="C114" i="5"/>
  <c r="C119" i="5"/>
  <c r="B114" i="5"/>
  <c r="C118" i="5"/>
  <c r="C111" i="5"/>
  <c r="B113" i="5"/>
  <c r="B116" i="5"/>
  <c r="G11" i="5"/>
  <c r="P62" i="1"/>
  <c r="C3" i="5"/>
  <c r="B118" i="5"/>
  <c r="B117" i="5"/>
  <c r="C105" i="5"/>
  <c r="C123" i="5"/>
  <c r="C110" i="5"/>
  <c r="B121" i="5"/>
  <c r="B108" i="5"/>
  <c r="G19" i="5"/>
  <c r="G7" i="5"/>
  <c r="C107" i="5"/>
  <c r="B109" i="5"/>
  <c r="G15" i="5"/>
  <c r="F9" i="5"/>
  <c r="G3" i="5"/>
  <c r="F10" i="5"/>
  <c r="B111" i="5"/>
  <c r="B122" i="5"/>
  <c r="C117" i="5"/>
  <c r="C124" i="5"/>
  <c r="P61" i="1"/>
  <c r="P59" i="1"/>
  <c r="F18" i="5"/>
  <c r="B119" i="5"/>
  <c r="B106" i="5"/>
  <c r="J78" i="1"/>
  <c r="J79" i="1" s="1"/>
  <c r="P58" i="1"/>
  <c r="C125" i="5"/>
  <c r="C109" i="5"/>
  <c r="P60" i="1"/>
  <c r="F22" i="5"/>
  <c r="B123" i="5"/>
  <c r="F14" i="5"/>
  <c r="B115" i="5"/>
  <c r="F6" i="5"/>
  <c r="B107" i="5"/>
  <c r="P57" i="1"/>
  <c r="P66" i="1" l="1"/>
  <c r="P80" i="1"/>
  <c r="P73" i="1"/>
  <c r="O80" i="1"/>
  <c r="O73" i="1"/>
  <c r="O66" i="1"/>
  <c r="H2" i="1"/>
  <c r="J77" i="1"/>
  <c r="N73" i="1"/>
  <c r="N66" i="1"/>
  <c r="N80" i="1"/>
  <c r="O81" i="1" l="1"/>
  <c r="O82" i="1"/>
  <c r="O83" i="1"/>
  <c r="P74" i="1"/>
  <c r="P76" i="1"/>
  <c r="P75" i="1"/>
  <c r="N69" i="1"/>
  <c r="N68" i="1"/>
  <c r="N67" i="1"/>
  <c r="N76" i="1"/>
  <c r="N75" i="1"/>
  <c r="N74" i="1"/>
  <c r="O68" i="1"/>
  <c r="O69" i="1"/>
  <c r="O67" i="1"/>
  <c r="P81" i="1"/>
  <c r="P83" i="1"/>
  <c r="P82" i="1"/>
  <c r="N83" i="1"/>
  <c r="N81" i="1"/>
  <c r="N82" i="1"/>
  <c r="O75" i="1"/>
  <c r="O74" i="1"/>
  <c r="O76" i="1"/>
  <c r="P69" i="1"/>
  <c r="P68" i="1"/>
  <c r="P6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Xiao Ru</author>
    <author>Chinedu Okeke</author>
    <author>tc={B86D030C-7CE9-4D93-B5CC-61F7921E449B}</author>
    <author>MDG</author>
  </authors>
  <commentList>
    <comment ref="B4" authorId="0" shapeId="0" xr:uid="{00000000-0006-0000-0100-000001000000}">
      <text>
        <r>
          <rPr>
            <b/>
            <sz val="9"/>
            <color indexed="81"/>
            <rFont val="Tahoma"/>
            <family val="2"/>
          </rPr>
          <t>For 1st fiscal quarter, input 1, for 2nd input 2, for 3rd input 3, for 10K input 4.</t>
        </r>
      </text>
    </comment>
    <comment ref="I54" authorId="0" shapeId="0" xr:uid="{00000000-0006-0000-0100-000002000000}">
      <text>
        <r>
          <rPr>
            <b/>
            <sz val="9"/>
            <color indexed="81"/>
            <rFont val="Tahoma"/>
            <family val="2"/>
          </rPr>
          <t>you can change the name like "3 month ended" or "6 month ended" or "9 month ended"</t>
        </r>
      </text>
    </comment>
    <comment ref="J54" authorId="0" shapeId="0" xr:uid="{00000000-0006-0000-0100-000003000000}">
      <text>
        <r>
          <rPr>
            <b/>
            <sz val="9"/>
            <color indexed="81"/>
            <rFont val="Tahoma"/>
            <family val="2"/>
          </rPr>
          <t>ex: if quarter used in the "Last Quarter" field is Q3 2017, then for this field input quarterly data for Q3 2016</t>
        </r>
      </text>
    </comment>
    <comment ref="I56" authorId="1" shapeId="0" xr:uid="{FCBE9BE7-7B26-421F-BCAD-40E7F674FE02}">
      <text>
        <r>
          <rPr>
            <b/>
            <sz val="9"/>
            <color indexed="81"/>
            <rFont val="Tahoma"/>
            <family val="2"/>
          </rPr>
          <t>Chinedu Okeke:</t>
        </r>
        <r>
          <rPr>
            <sz val="9"/>
            <color indexed="81"/>
            <rFont val="Tahoma"/>
            <family val="2"/>
          </rPr>
          <t xml:space="preserve">
Cash makes up 95% of CA</t>
        </r>
      </text>
    </comment>
    <comment ref="I57" authorId="2" shapeId="0" xr:uid="{B86D030C-7CE9-4D93-B5CC-61F7921E449B}">
      <text>
        <t>[Threaded comment]
Your version of Excel allows you to read this threaded comment; however, any edits to it will get removed if the file is opened in a newer version of Excel. Learn more: https://go.microsoft.com/fwlink/?linkid=870924
Comment:
    Accrued Expenses makes up 83% of CL</t>
      </text>
    </comment>
    <comment ref="I60" authorId="0" shapeId="0" xr:uid="{00000000-0006-0000-0100-000004000000}">
      <text>
        <r>
          <rPr>
            <b/>
            <sz val="9"/>
            <color indexed="81"/>
            <rFont val="Tahoma"/>
            <family val="2"/>
          </rPr>
          <t>always input 3 month end data</t>
        </r>
      </text>
    </comment>
    <comment ref="J60" authorId="0" shapeId="0" xr:uid="{00000000-0006-0000-0100-000005000000}">
      <text>
        <r>
          <rPr>
            <b/>
            <sz val="9"/>
            <color indexed="81"/>
            <rFont val="Tahoma"/>
            <family val="2"/>
          </rPr>
          <t>always input annual data for last year</t>
        </r>
        <r>
          <rPr>
            <sz val="9"/>
            <color indexed="81"/>
            <rFont val="Tahoma"/>
            <family val="2"/>
          </rPr>
          <t xml:space="preserve">
</t>
        </r>
      </text>
    </comment>
    <comment ref="O62" authorId="3" shapeId="0" xr:uid="{00000000-0006-0000-0100-000006000000}">
      <text>
        <r>
          <rPr>
            <b/>
            <sz val="9"/>
            <color indexed="81"/>
            <rFont val="Tahoma"/>
            <family val="2"/>
          </rPr>
          <t>You can change this value to see # of days traded less than that.</t>
        </r>
      </text>
    </comment>
    <comment ref="I65" authorId="1" shapeId="0" xr:uid="{FB7604A8-4483-4C9B-B2E5-E2223B937334}">
      <text>
        <r>
          <rPr>
            <b/>
            <sz val="9"/>
            <color indexed="81"/>
            <rFont val="Tahoma"/>
            <family val="2"/>
          </rPr>
          <t>Chinedu Okeke:</t>
        </r>
        <r>
          <rPr>
            <sz val="9"/>
            <color indexed="81"/>
            <rFont val="Tahoma"/>
            <family val="2"/>
          </rPr>
          <t xml:space="preserve">
The driver of Net loss growth is SG&amp;A</t>
        </r>
      </text>
    </comment>
    <comment ref="I67" authorId="1" shapeId="0" xr:uid="{09795AB9-5A9D-4BA5-A99F-0BC59FC4B42E}">
      <text>
        <r>
          <rPr>
            <b/>
            <sz val="9"/>
            <color indexed="81"/>
            <rFont val="Tahoma"/>
            <family val="2"/>
          </rPr>
          <t>Chinedu Okeke:</t>
        </r>
        <r>
          <rPr>
            <sz val="9"/>
            <color indexed="81"/>
            <rFont val="Tahoma"/>
            <family val="2"/>
          </rPr>
          <t xml:space="preserve">
Adjusted CFO is high by 834.
The company uses stocks to pay for services and reflects this in the CFO.</t>
        </r>
      </text>
    </comment>
  </commentList>
</comments>
</file>

<file path=xl/sharedStrings.xml><?xml version="1.0" encoding="utf-8"?>
<sst xmlns="http://schemas.openxmlformats.org/spreadsheetml/2006/main" count="138" uniqueCount="121">
  <si>
    <t>VWOP</t>
  </si>
  <si>
    <t>OHLC Avg</t>
  </si>
  <si>
    <t>Value Traded</t>
  </si>
  <si>
    <t>6 Month</t>
  </si>
  <si>
    <t>Management</t>
  </si>
  <si>
    <t>Name</t>
  </si>
  <si>
    <t>Burn Rate</t>
  </si>
  <si>
    <t>CF Change</t>
  </si>
  <si>
    <t>Remaining Cash (days)</t>
  </si>
  <si>
    <t>Company Description</t>
  </si>
  <si>
    <t>Fundamental</t>
  </si>
  <si>
    <t>Value</t>
  </si>
  <si>
    <t>CF from Ops</t>
  </si>
  <si>
    <t>CF from Inv</t>
  </si>
  <si>
    <t>CF from Fin</t>
  </si>
  <si>
    <t>Revenue</t>
  </si>
  <si>
    <t>COGS</t>
  </si>
  <si>
    <t>Gross Profit</t>
  </si>
  <si>
    <t>Gross Margin</t>
  </si>
  <si>
    <t>Net income (loss)</t>
  </si>
  <si>
    <t>Cash</t>
  </si>
  <si>
    <t>Current Asset</t>
  </si>
  <si>
    <t>Current Liability</t>
  </si>
  <si>
    <t>Working Capital</t>
  </si>
  <si>
    <t>Based on last</t>
  </si>
  <si>
    <t>% of Volume</t>
  </si>
  <si>
    <t>Volume Stats</t>
  </si>
  <si>
    <t>AVG per day for latest 30 trading days</t>
  </si>
  <si>
    <t>AVG per day for latest 60 trading days</t>
  </si>
  <si>
    <t>AVG per day for latest 90 trading days</t>
  </si>
  <si>
    <t>Minimum volume for latest 30 trading days</t>
  </si>
  <si>
    <t>Maximum volume for latest 30 trading days</t>
  </si>
  <si>
    <t>Value Stats (US$)</t>
  </si>
  <si>
    <t>Minimum value for latest 30 trading days</t>
  </si>
  <si>
    <t>Maximum value for latest 30 trading days</t>
  </si>
  <si>
    <t>10K</t>
  </si>
  <si>
    <t xml:space="preserve">4.99% of outstanding </t>
  </si>
  <si>
    <t xml:space="preserve">Current Market Price (USD) </t>
  </si>
  <si>
    <t>Market Capitalization</t>
  </si>
  <si>
    <t>Company Information</t>
  </si>
  <si>
    <t>Fundamental Analysis</t>
  </si>
  <si>
    <t>Volume Statistics</t>
  </si>
  <si>
    <t>BS</t>
  </si>
  <si>
    <t>IS</t>
  </si>
  <si>
    <t>CF</t>
  </si>
  <si>
    <t>Title</t>
  </si>
  <si>
    <t>Retained Earnings (Accumulated Deficit)</t>
  </si>
  <si>
    <t>10Q</t>
  </si>
  <si>
    <t>Date</t>
  </si>
  <si>
    <t>OHLC Average</t>
  </si>
  <si>
    <t>Dollar value of 4.99% outstanding</t>
  </si>
  <si>
    <t>1.  Go to OTCMarkets.com</t>
  </si>
  <si>
    <t>2.  Type in the symbol of the company you are doing a debt sheet for, click "Get Quote"</t>
  </si>
  <si>
    <t>4.  Towards the bottom of the screen, click "6m"</t>
  </si>
  <si>
    <t>3.  On the left side of the screen, click "Charts"</t>
  </si>
  <si>
    <t>5.  Above the graph, click "Data", then click "Save As Excel".  Save the file.</t>
  </si>
  <si>
    <t>6.  Open the saved data file and copy all the data (select cell A1 and press Ctrl+Shft+Right Arrow then Ctrl+Shft+Down Arrow, then Ctrl+C)</t>
  </si>
  <si>
    <t>7.  Switch to the Debt Sheet Template, open the Data tab (with cells still highlighted from your downloaded data sheet)</t>
  </si>
  <si>
    <t>8.  Press the red button</t>
  </si>
  <si>
    <t>Latest Filing:</t>
  </si>
  <si>
    <t>Fiscal Year End:</t>
  </si>
  <si>
    <t>10-Q Filing Period:</t>
  </si>
  <si>
    <t>Shares Issued</t>
  </si>
  <si>
    <t>Shares Authorized</t>
  </si>
  <si>
    <t>Share Information</t>
  </si>
  <si>
    <t>Par Value</t>
  </si>
  <si>
    <t>Major Shareholders</t>
  </si>
  <si>
    <t>Institution Type</t>
  </si>
  <si>
    <t>% Held</t>
  </si>
  <si>
    <t>Holding as of</t>
  </si>
  <si>
    <t>Analyst Name:</t>
  </si>
  <si>
    <t>Accountant</t>
  </si>
  <si>
    <t>Attorney</t>
  </si>
  <si>
    <t>Make sure the company you're doing a debt sheet for hasn't been done recently (search the Drive)</t>
  </si>
  <si>
    <t>9.  Select all, click on the error sign and change data to show numbers</t>
  </si>
  <si>
    <t>10. Change tab name from XXX to the symbol of the company</t>
  </si>
  <si>
    <t>11. Save the document as "debt sheet - Symbol"</t>
  </si>
  <si>
    <t>12.  Fill out information in Yellow cells from forms 10-K and 10-Q</t>
  </si>
  <si>
    <t>a. Days traded less than $5,000 over the last 30 days not more than 10</t>
  </si>
  <si>
    <t>b. Average dollar volume traded per day for the last 30 days not less than $10,000</t>
  </si>
  <si>
    <t>c. Companies that need cash</t>
  </si>
  <si>
    <t>d. Companies that have a history of issuing convertible debts</t>
  </si>
  <si>
    <t>e. Companies that have outstanding convertible debts</t>
  </si>
  <si>
    <t>Companies that we like</t>
  </si>
  <si>
    <t>Use your best judgement</t>
  </si>
  <si>
    <t>Analyst Opinion &amp; Today's Date</t>
  </si>
  <si>
    <t>Transfer Agent</t>
  </si>
  <si>
    <t>Shares Outstanding</t>
  </si>
  <si>
    <t>Last Quarter</t>
  </si>
  <si>
    <t>Same Quarter Last Year</t>
  </si>
  <si>
    <t>Last Quarter This year</t>
  </si>
  <si>
    <t>Last Year (Annual)</t>
  </si>
  <si>
    <t xml:space="preserve"> Last Quarter</t>
  </si>
  <si>
    <t>3 Month Ended</t>
  </si>
  <si>
    <t>Yahoo Finance</t>
  </si>
  <si>
    <t>OTC Markets</t>
  </si>
  <si>
    <t>Company Name</t>
  </si>
  <si>
    <t>Open</t>
  </si>
  <si>
    <t>High</t>
  </si>
  <si>
    <t>Low</t>
  </si>
  <si>
    <t>Close</t>
  </si>
  <si>
    <t>Volume</t>
  </si>
  <si>
    <t>Kraig Biocraft Laboratories, Inc.</t>
  </si>
  <si>
    <t>1OQ</t>
  </si>
  <si>
    <t>Domicile: U.S</t>
  </si>
  <si>
    <t>Phone Number: (734) 619-8066</t>
  </si>
  <si>
    <t>Website: www.KraigLabs.com</t>
  </si>
  <si>
    <t>CIK Code: 0001413119</t>
  </si>
  <si>
    <t>Stock Symbol: KBLB</t>
  </si>
  <si>
    <t>Exchange: OTCQB</t>
  </si>
  <si>
    <t>Thompson, Kim Kraig</t>
  </si>
  <si>
    <t>Rice, Jonathan R.</t>
  </si>
  <si>
    <t>Zhang, Xiaoli</t>
  </si>
  <si>
    <t>Le, Kenneth</t>
  </si>
  <si>
    <t>Founder, CEO, President, CFO, Corporate Secretary &amp; Director</t>
  </si>
  <si>
    <t>Chief Operating Officer</t>
  </si>
  <si>
    <t>Chief Scientist</t>
  </si>
  <si>
    <t>MD &amp; Director of Government Relations and President of Prodigy Textiles</t>
  </si>
  <si>
    <t xml:space="preserve">Kraig Biocraft Laboratories, Inc. develops protein-based fibers using recombinant DNA technology for commercial applications in the textile and specialty fiber industries in the United States. Its primary proprietary fiber technology includes natural and engineered variants of spider silk produced in domesticated mulberry silkworms, as well as uses genetically engineered silkworms that produce spider silk proteins to create its recombinant spider silk. The company's products are used in performance apparel, workwear, filtration, luxury fashion, flexible composites, medical implants, cosmetics, and other applications; military and police for its ballistic protection; and geotextiles, safe and protective clothing, textiles used in transportation and buildings, and functional and sportive textiles. Kraig Biocraft Laboratories, Inc. was incorporated in 2006 and is headquartered in Ann Arbor, Michigan.
</t>
  </si>
  <si>
    <t>Hurley Capital, LLC</t>
  </si>
  <si>
    <t>Chinedu.O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</si>
</sst>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2" formatCode="_(&quot;$&quot;* #,##0_);_(&quot;$&quot;* \(#,##0\);_(&quot;$&quot;* &quot;-&quot;_);_(@_)"/>
    <numFmt numFmtId="44" formatCode="_(&quot;$&quot;* #,##0.00_);_(&quot;$&quot;* \(#,##0.00\);_(&quot;$&quot;* &quot;-&quot;??_);_(@_)"/>
    <numFmt numFmtId="43" formatCode="_(* #,##0.00_);_(* \(#,##0.00\);_(* &quot;-&quot;??_);_(@_)"/>
    <numFmt numFmtId="164" formatCode="&quot;$&quot;#,##0.00"/>
    <numFmt numFmtId="165" formatCode="[$-409]d\-mmm\-yy;@"/>
    <numFmt numFmtId="166" formatCode="_(* #,##0_);_(* \(#,##0\);_(* &quot;-&quot;??_);_(@_)"/>
    <numFmt numFmtId="167" formatCode="_(&quot;$&quot;* #,##0.0000_);_(&quot;$&quot;* \(#,##0.0000\);_(&quot;$&quot;* &quot;-&quot;??_);_(@_)"/>
    <numFmt numFmtId="168" formatCode="_(&quot;$&quot;* #,##0.0000_);_(&quot;$&quot;* \(#,##0.0000\);_(&quot;$&quot;* &quot;-&quot;????_);_(@_)"/>
    <numFmt numFmtId="169" formatCode="0.0%"/>
    <numFmt numFmtId="170" formatCode="mm/dd/yy;@"/>
    <numFmt numFmtId="171" formatCode="_(&quot;$&quot;* #,##0_);_(&quot;$&quot;* \(#,##0\);_(&quot;$&quot;* &quot;-&quot;??_);_(@_)"/>
    <numFmt numFmtId="172" formatCode="m/d;@"/>
  </numFmts>
  <fonts count="20" x14ac:knownFonts="1">
    <font>
      <sz val="11"/>
      <color theme="1"/>
      <name val="Calibri"/>
      <family val="2"/>
      <scheme val="minor"/>
    </font>
    <font>
      <sz val="11"/>
      <color theme="1"/>
      <name val="Calibri"/>
      <family val="2"/>
      <scheme val="minor"/>
    </font>
    <font>
      <sz val="10"/>
      <name val="Arial"/>
      <family val="2"/>
    </font>
    <font>
      <b/>
      <sz val="16"/>
      <color theme="0"/>
      <name val="Calibri"/>
      <family val="2"/>
      <scheme val="minor"/>
    </font>
    <font>
      <b/>
      <sz val="9"/>
      <color indexed="81"/>
      <name val="Tahoma"/>
      <family val="2"/>
    </font>
    <font>
      <sz val="12"/>
      <color theme="1"/>
      <name val="Century Gothic"/>
      <family val="2"/>
    </font>
    <font>
      <b/>
      <sz val="12"/>
      <name val="Century Gothic"/>
      <family val="2"/>
    </font>
    <font>
      <b/>
      <sz val="12"/>
      <color theme="1"/>
      <name val="Century Gothic"/>
      <family val="2"/>
    </font>
    <font>
      <sz val="12"/>
      <color indexed="8"/>
      <name val="Century Gothic"/>
      <family val="2"/>
    </font>
    <font>
      <sz val="12"/>
      <name val="Century Gothic"/>
      <family val="2"/>
    </font>
    <font>
      <b/>
      <sz val="12"/>
      <color rgb="FF000000"/>
      <name val="Century Gothic"/>
      <family val="2"/>
    </font>
    <font>
      <sz val="12"/>
      <color rgb="FF000000"/>
      <name val="Century Gothic"/>
      <family val="2"/>
    </font>
    <font>
      <sz val="12"/>
      <color rgb="FF212121"/>
      <name val="Century Gothic"/>
      <family val="2"/>
    </font>
    <font>
      <b/>
      <sz val="18"/>
      <color theme="1"/>
      <name val="Century Gothic"/>
      <family val="2"/>
    </font>
    <font>
      <b/>
      <sz val="11"/>
      <color rgb="FFFF0000"/>
      <name val="Calibri"/>
      <family val="2"/>
      <scheme val="minor"/>
    </font>
    <font>
      <b/>
      <sz val="11"/>
      <color theme="1"/>
      <name val="Calibri"/>
      <family val="2"/>
      <scheme val="minor"/>
    </font>
    <font>
      <b/>
      <sz val="20"/>
      <name val="Century Gothic"/>
      <family val="2"/>
    </font>
    <font>
      <u/>
      <sz val="11"/>
      <color theme="10"/>
      <name val="Calibri"/>
      <family val="2"/>
      <scheme val="minor"/>
    </font>
    <font>
      <u/>
      <sz val="11"/>
      <color theme="11"/>
      <name val="Calibri"/>
      <family val="2"/>
      <scheme val="minor"/>
    </font>
    <font>
      <sz val="9"/>
      <color indexed="81"/>
      <name val="Tahoma"/>
      <family val="2"/>
    </font>
  </fonts>
  <fills count="12">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rgb="FF000000"/>
      </patternFill>
    </fill>
    <fill>
      <patternFill patternType="solid">
        <fgColor theme="9" tint="0.59999389629810485"/>
        <bgColor indexed="64"/>
      </patternFill>
    </fill>
    <fill>
      <patternFill patternType="solid">
        <fgColor theme="8" tint="0.79998168889431442"/>
        <bgColor rgb="FF000000"/>
      </patternFill>
    </fill>
    <fill>
      <patternFill patternType="solid">
        <fgColor theme="8" tint="0.79998168889431442"/>
        <bgColor indexed="64"/>
      </patternFill>
    </fill>
    <fill>
      <patternFill patternType="solid">
        <fgColor theme="8" tint="0.59996337778862885"/>
        <bgColor indexed="64"/>
      </patternFill>
    </fill>
    <fill>
      <patternFill patternType="solid">
        <fgColor rgb="FFA6B9E1"/>
        <bgColor rgb="FF000000"/>
      </patternFill>
    </fill>
    <fill>
      <patternFill patternType="solid">
        <fgColor rgb="FFD9E1F2"/>
        <bgColor rgb="FF000000"/>
      </patternFill>
    </fill>
    <fill>
      <patternFill patternType="solid">
        <fgColor rgb="FFFF9999"/>
        <bgColor indexed="64"/>
      </patternFill>
    </fill>
  </fills>
  <borders count="53">
    <border>
      <left/>
      <right/>
      <top/>
      <bottom/>
      <diagonal/>
    </border>
    <border>
      <left style="medium">
        <color auto="1"/>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hair">
        <color auto="1"/>
      </left>
      <right style="hair">
        <color auto="1"/>
      </right>
      <top style="hair">
        <color auto="1"/>
      </top>
      <bottom style="hair">
        <color auto="1"/>
      </bottom>
      <diagonal/>
    </border>
    <border>
      <left/>
      <right/>
      <top style="thin">
        <color auto="1"/>
      </top>
      <bottom/>
      <diagonal/>
    </border>
    <border>
      <left/>
      <right/>
      <top style="medium">
        <color auto="1"/>
      </top>
      <bottom/>
      <diagonal/>
    </border>
    <border>
      <left/>
      <right style="medium">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ck">
        <color auto="1"/>
      </top>
      <bottom style="medium">
        <color auto="1"/>
      </bottom>
      <diagonal/>
    </border>
  </borders>
  <cellStyleXfs count="32">
    <xf numFmtId="0" fontId="0" fillId="0" borderId="0"/>
    <xf numFmtId="44" fontId="1" fillId="0" borderId="0" applyFont="0" applyFill="0" applyBorder="0" applyAlignment="0" applyProtection="0"/>
    <xf numFmtId="0" fontId="2" fillId="0" borderId="0"/>
    <xf numFmtId="43" fontId="1" fillId="0" borderId="0" applyFont="0" applyFill="0" applyBorder="0" applyAlignment="0" applyProtection="0"/>
    <xf numFmtId="43" fontId="2"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cellStyleXfs>
  <cellXfs count="207">
    <xf numFmtId="0" fontId="0" fillId="0" borderId="0" xfId="0"/>
    <xf numFmtId="0" fontId="0" fillId="0" borderId="0" xfId="0" applyProtection="1">
      <protection locked="0"/>
    </xf>
    <xf numFmtId="44" fontId="0" fillId="0" borderId="0" xfId="1" applyFont="1"/>
    <xf numFmtId="0" fontId="3" fillId="2" borderId="0" xfId="0" applyFont="1" applyFill="1" applyAlignment="1">
      <alignment horizontal="centerContinuous"/>
    </xf>
    <xf numFmtId="0" fontId="5" fillId="0" borderId="0" xfId="0" applyFont="1"/>
    <xf numFmtId="0" fontId="5" fillId="0" borderId="0" xfId="0" applyFont="1" applyAlignment="1">
      <alignment vertical="top"/>
    </xf>
    <xf numFmtId="0" fontId="5" fillId="0" borderId="0" xfId="0" applyFont="1" applyAlignment="1">
      <alignment horizontal="right"/>
    </xf>
    <xf numFmtId="165" fontId="6" fillId="0" borderId="0" xfId="4" applyNumberFormat="1" applyFont="1"/>
    <xf numFmtId="166" fontId="9" fillId="0" borderId="0" xfId="4" applyNumberFormat="1" applyFont="1" applyAlignment="1">
      <alignment horizontal="center"/>
    </xf>
    <xf numFmtId="43" fontId="6" fillId="0" borderId="0" xfId="4" applyFont="1" applyAlignment="1">
      <alignment horizontal="center"/>
    </xf>
    <xf numFmtId="14" fontId="5" fillId="0" borderId="0" xfId="0" applyNumberFormat="1" applyFont="1" applyAlignment="1" applyProtection="1">
      <alignment vertical="top"/>
      <protection locked="0"/>
    </xf>
    <xf numFmtId="0" fontId="5" fillId="0" borderId="0" xfId="0" applyFont="1" applyAlignment="1" applyProtection="1">
      <alignment horizontal="right"/>
      <protection locked="0"/>
    </xf>
    <xf numFmtId="0" fontId="14" fillId="0" borderId="0" xfId="0" applyFont="1"/>
    <xf numFmtId="14" fontId="0" fillId="0" borderId="0" xfId="0" applyNumberFormat="1" applyProtection="1">
      <protection locked="0"/>
    </xf>
    <xf numFmtId="0" fontId="5" fillId="0" borderId="0" xfId="0" applyFont="1" applyAlignment="1">
      <alignment horizontal="center" vertical="center"/>
    </xf>
    <xf numFmtId="0" fontId="6" fillId="7" borderId="12" xfId="2" applyFont="1" applyFill="1" applyBorder="1" applyAlignment="1">
      <alignment horizontal="center" vertical="center"/>
    </xf>
    <xf numFmtId="165" fontId="6" fillId="7" borderId="12" xfId="4" applyNumberFormat="1" applyFont="1" applyFill="1" applyBorder="1" applyAlignment="1">
      <alignment horizontal="center" vertical="center"/>
    </xf>
    <xf numFmtId="14" fontId="0" fillId="0" borderId="0" xfId="0" applyNumberFormat="1"/>
    <xf numFmtId="0" fontId="15" fillId="0" borderId="29" xfId="0" applyFont="1" applyBorder="1"/>
    <xf numFmtId="0" fontId="15" fillId="0" borderId="29" xfId="0" applyFont="1" applyBorder="1" applyProtection="1">
      <protection locked="0"/>
    </xf>
    <xf numFmtId="2" fontId="0" fillId="0" borderId="29" xfId="0" applyNumberFormat="1" applyBorder="1"/>
    <xf numFmtId="44" fontId="0" fillId="0" borderId="29" xfId="1" applyFont="1" applyBorder="1"/>
    <xf numFmtId="0" fontId="6" fillId="0" borderId="0" xfId="2" applyFont="1"/>
    <xf numFmtId="0" fontId="0" fillId="0" borderId="0" xfId="0" applyAlignment="1">
      <alignment horizontal="left"/>
    </xf>
    <xf numFmtId="44" fontId="0" fillId="0" borderId="0" xfId="0" applyNumberFormat="1"/>
    <xf numFmtId="0" fontId="16" fillId="8" borderId="1" xfId="2" applyFont="1" applyFill="1" applyBorder="1" applyAlignment="1">
      <alignment vertical="center"/>
    </xf>
    <xf numFmtId="0" fontId="16" fillId="8" borderId="31" xfId="2" applyFont="1" applyFill="1" applyBorder="1" applyAlignment="1">
      <alignment vertical="center"/>
    </xf>
    <xf numFmtId="0" fontId="16" fillId="8" borderId="36" xfId="2" applyFont="1" applyFill="1" applyBorder="1" applyAlignment="1">
      <alignment vertical="center"/>
    </xf>
    <xf numFmtId="0" fontId="7" fillId="7" borderId="35" xfId="0" applyFont="1" applyFill="1" applyBorder="1" applyAlignment="1">
      <alignment horizontal="center" vertical="center"/>
    </xf>
    <xf numFmtId="0" fontId="7" fillId="8" borderId="33" xfId="0" applyFont="1" applyFill="1" applyBorder="1" applyAlignment="1">
      <alignment horizontal="center" vertical="center"/>
    </xf>
    <xf numFmtId="0" fontId="7" fillId="8" borderId="34" xfId="0" applyFont="1" applyFill="1" applyBorder="1" applyAlignment="1">
      <alignment horizontal="center" vertical="center"/>
    </xf>
    <xf numFmtId="0" fontId="7" fillId="8" borderId="35" xfId="0" applyFont="1" applyFill="1" applyBorder="1" applyAlignment="1">
      <alignment horizontal="center" vertical="center"/>
    </xf>
    <xf numFmtId="0" fontId="6" fillId="7" borderId="10" xfId="2"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165" fontId="6" fillId="7" borderId="10" xfId="4" applyNumberFormat="1" applyFont="1" applyFill="1" applyBorder="1" applyAlignment="1">
      <alignment horizontal="center" vertical="center"/>
    </xf>
    <xf numFmtId="0" fontId="7" fillId="0" borderId="8" xfId="0" applyFont="1" applyBorder="1" applyAlignment="1">
      <alignment horizontal="center" vertical="center"/>
    </xf>
    <xf numFmtId="0" fontId="10" fillId="0" borderId="8" xfId="0" applyFont="1" applyBorder="1" applyAlignment="1">
      <alignment horizontal="center" vertical="center"/>
    </xf>
    <xf numFmtId="0" fontId="6" fillId="7" borderId="11" xfId="2" applyFont="1" applyFill="1" applyBorder="1" applyAlignment="1">
      <alignment vertical="center"/>
    </xf>
    <xf numFmtId="165" fontId="6" fillId="7" borderId="11" xfId="4" applyNumberFormat="1" applyFont="1" applyFill="1" applyBorder="1" applyAlignment="1">
      <alignment vertical="center"/>
    </xf>
    <xf numFmtId="0" fontId="5" fillId="7" borderId="11" xfId="0" applyFont="1" applyFill="1" applyBorder="1" applyAlignment="1">
      <alignment vertical="center"/>
    </xf>
    <xf numFmtId="0" fontId="6" fillId="7" borderId="12" xfId="2" applyFont="1" applyFill="1" applyBorder="1" applyAlignment="1">
      <alignment vertical="center"/>
    </xf>
    <xf numFmtId="0" fontId="7" fillId="0" borderId="18" xfId="0" applyFont="1" applyBorder="1" applyAlignment="1">
      <alignment vertical="center"/>
    </xf>
    <xf numFmtId="0" fontId="7" fillId="0" borderId="27" xfId="0" applyFont="1" applyBorder="1" applyAlignment="1">
      <alignment horizontal="right" vertical="center"/>
    </xf>
    <xf numFmtId="0" fontId="7" fillId="0" borderId="28" xfId="0" applyFont="1" applyBorder="1" applyAlignment="1">
      <alignment horizontal="right" vertical="center"/>
    </xf>
    <xf numFmtId="9" fontId="7" fillId="3" borderId="21" xfId="0" applyNumberFormat="1" applyFont="1" applyFill="1" applyBorder="1" applyAlignment="1">
      <alignment vertical="center"/>
    </xf>
    <xf numFmtId="164" fontId="5" fillId="0" borderId="14" xfId="0" applyNumberFormat="1" applyFont="1" applyBorder="1" applyAlignment="1">
      <alignment horizontal="right" vertical="center"/>
    </xf>
    <xf numFmtId="42" fontId="7" fillId="0" borderId="21" xfId="0" applyNumberFormat="1" applyFont="1" applyBorder="1" applyAlignment="1">
      <alignment horizontal="left" vertical="center"/>
    </xf>
    <xf numFmtId="3" fontId="5" fillId="0" borderId="14" xfId="0" applyNumberFormat="1" applyFont="1" applyBorder="1" applyAlignment="1">
      <alignment horizontal="right" vertical="center" wrapText="1"/>
    </xf>
    <xf numFmtId="3" fontId="5" fillId="0" borderId="15" xfId="0" applyNumberFormat="1" applyFont="1" applyBorder="1" applyAlignment="1">
      <alignment horizontal="right" vertical="center" wrapText="1"/>
    </xf>
    <xf numFmtId="42" fontId="7" fillId="0" borderId="22" xfId="0" applyNumberFormat="1" applyFont="1" applyBorder="1" applyAlignment="1">
      <alignment horizontal="left" vertical="center"/>
    </xf>
    <xf numFmtId="3" fontId="5" fillId="0" borderId="16" xfId="0" applyNumberFormat="1" applyFont="1" applyBorder="1" applyAlignment="1">
      <alignment horizontal="right" vertical="center" wrapText="1"/>
    </xf>
    <xf numFmtId="3" fontId="5" fillId="0" borderId="17" xfId="0" applyNumberFormat="1" applyFont="1" applyBorder="1" applyAlignment="1">
      <alignment horizontal="right" vertical="center" wrapText="1"/>
    </xf>
    <xf numFmtId="0" fontId="5" fillId="7" borderId="11" xfId="0" applyFont="1" applyFill="1" applyBorder="1" applyAlignment="1">
      <alignment horizontal="right" vertical="center"/>
    </xf>
    <xf numFmtId="0" fontId="6" fillId="7" borderId="11" xfId="2" applyFont="1" applyFill="1" applyBorder="1" applyAlignment="1">
      <alignment horizontal="right" vertical="center"/>
    </xf>
    <xf numFmtId="0" fontId="6" fillId="7" borderId="12" xfId="2" applyFont="1" applyFill="1" applyBorder="1" applyAlignment="1">
      <alignment horizontal="right" vertical="center"/>
    </xf>
    <xf numFmtId="9" fontId="7" fillId="3" borderId="13" xfId="0" applyNumberFormat="1" applyFont="1" applyFill="1" applyBorder="1" applyAlignment="1">
      <alignment vertical="center"/>
    </xf>
    <xf numFmtId="42" fontId="7" fillId="0" borderId="13" xfId="0" applyNumberFormat="1" applyFont="1" applyBorder="1" applyAlignment="1">
      <alignment horizontal="left" vertical="center"/>
    </xf>
    <xf numFmtId="42" fontId="7" fillId="0" borderId="9" xfId="0" applyNumberFormat="1" applyFont="1" applyBorder="1" applyAlignment="1">
      <alignment horizontal="left" vertical="center"/>
    </xf>
    <xf numFmtId="0" fontId="6" fillId="6" borderId="11" xfId="0" applyFont="1" applyFill="1" applyBorder="1" applyAlignment="1">
      <alignment vertical="center"/>
    </xf>
    <xf numFmtId="0" fontId="6" fillId="6" borderId="11" xfId="0" applyFont="1" applyFill="1" applyBorder="1" applyAlignment="1">
      <alignment horizontal="right" vertical="center"/>
    </xf>
    <xf numFmtId="0" fontId="6" fillId="6" borderId="12" xfId="0" applyFont="1" applyFill="1" applyBorder="1" applyAlignment="1">
      <alignment horizontal="right" vertical="center"/>
    </xf>
    <xf numFmtId="0" fontId="10" fillId="0" borderId="18" xfId="0" applyFont="1" applyBorder="1" applyAlignment="1">
      <alignment vertical="center"/>
    </xf>
    <xf numFmtId="0" fontId="10" fillId="0" borderId="18" xfId="0" applyFont="1" applyBorder="1" applyAlignment="1">
      <alignment horizontal="right" vertical="center"/>
    </xf>
    <xf numFmtId="0" fontId="10" fillId="0" borderId="19" xfId="0" applyFont="1" applyBorder="1" applyAlignment="1">
      <alignment horizontal="right" vertical="center"/>
    </xf>
    <xf numFmtId="9" fontId="10" fillId="4" borderId="8" xfId="0" applyNumberFormat="1" applyFont="1" applyFill="1" applyBorder="1" applyAlignment="1">
      <alignment vertical="center"/>
    </xf>
    <xf numFmtId="9" fontId="10" fillId="4" borderId="18" xfId="0" applyNumberFormat="1" applyFont="1" applyFill="1" applyBorder="1" applyAlignment="1">
      <alignment vertical="center"/>
    </xf>
    <xf numFmtId="42" fontId="10" fillId="0" borderId="8" xfId="0" applyNumberFormat="1" applyFont="1" applyBorder="1" applyAlignment="1">
      <alignment horizontal="left" vertical="center"/>
    </xf>
    <xf numFmtId="42" fontId="10" fillId="0" borderId="18" xfId="0" applyNumberFormat="1" applyFont="1" applyBorder="1" applyAlignment="1">
      <alignment horizontal="left" vertical="center"/>
    </xf>
    <xf numFmtId="42" fontId="10" fillId="0" borderId="20" xfId="0" applyNumberFormat="1" applyFont="1" applyBorder="1" applyAlignment="1">
      <alignment horizontal="left" vertical="center"/>
    </xf>
    <xf numFmtId="42" fontId="10" fillId="0" borderId="7" xfId="0" applyNumberFormat="1" applyFont="1" applyBorder="1" applyAlignment="1">
      <alignment horizontal="left" vertical="center"/>
    </xf>
    <xf numFmtId="0" fontId="5" fillId="0" borderId="2" xfId="0" applyFont="1" applyBorder="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5" xfId="0" applyFont="1" applyBorder="1" applyAlignment="1">
      <alignment vertical="center"/>
    </xf>
    <xf numFmtId="0" fontId="5" fillId="0" borderId="18" xfId="0" applyFont="1" applyBorder="1" applyAlignment="1">
      <alignment vertical="center"/>
    </xf>
    <xf numFmtId="0" fontId="5" fillId="0" borderId="21" xfId="0" applyFont="1" applyBorder="1" applyAlignment="1">
      <alignment vertical="center"/>
    </xf>
    <xf numFmtId="0" fontId="5" fillId="0" borderId="40" xfId="0" applyFont="1" applyBorder="1" applyAlignment="1">
      <alignment vertical="center"/>
    </xf>
    <xf numFmtId="9" fontId="5" fillId="0" borderId="15" xfId="5" applyFont="1" applyFill="1" applyBorder="1" applyAlignment="1">
      <alignment horizontal="right" vertical="center"/>
    </xf>
    <xf numFmtId="0" fontId="5" fillId="0" borderId="22" xfId="0" applyFont="1" applyBorder="1" applyAlignment="1">
      <alignment vertical="center"/>
    </xf>
    <xf numFmtId="0" fontId="5" fillId="0" borderId="2" xfId="0" applyFont="1" applyBorder="1" applyAlignment="1">
      <alignment horizontal="left" vertical="center"/>
    </xf>
    <xf numFmtId="0" fontId="5" fillId="0" borderId="5" xfId="0" applyFont="1" applyBorder="1" applyAlignment="1">
      <alignment horizontal="left" vertical="center"/>
    </xf>
    <xf numFmtId="0" fontId="5" fillId="0" borderId="1" xfId="0" applyFont="1" applyBorder="1" applyAlignment="1">
      <alignment horizontal="left" vertical="center"/>
    </xf>
    <xf numFmtId="170" fontId="5" fillId="0" borderId="31" xfId="0" applyNumberFormat="1" applyFont="1" applyBorder="1" applyAlignment="1">
      <alignment horizontal="left" vertical="center"/>
    </xf>
    <xf numFmtId="0" fontId="5" fillId="0" borderId="31" xfId="0" applyFont="1" applyBorder="1" applyAlignment="1">
      <alignment horizontal="left" vertical="center"/>
    </xf>
    <xf numFmtId="0" fontId="9" fillId="0" borderId="31" xfId="2" applyFont="1" applyBorder="1" applyAlignment="1">
      <alignment horizontal="left" vertical="center"/>
    </xf>
    <xf numFmtId="0" fontId="5" fillId="0" borderId="36" xfId="0" applyFont="1" applyBorder="1" applyAlignment="1">
      <alignment horizontal="left" vertical="center"/>
    </xf>
    <xf numFmtId="0" fontId="5" fillId="0" borderId="0" xfId="0" applyFont="1" applyAlignment="1">
      <alignment horizontal="left" vertical="center"/>
    </xf>
    <xf numFmtId="0" fontId="9" fillId="0" borderId="0" xfId="2" applyFont="1" applyAlignment="1">
      <alignment horizontal="left" vertical="center"/>
    </xf>
    <xf numFmtId="0" fontId="5" fillId="0" borderId="3" xfId="0" applyFont="1" applyBorder="1" applyAlignment="1">
      <alignment horizontal="left" vertical="center"/>
    </xf>
    <xf numFmtId="0" fontId="5" fillId="0" borderId="4" xfId="0" applyFont="1" applyBorder="1" applyAlignment="1">
      <alignment horizontal="left" vertical="center"/>
    </xf>
    <xf numFmtId="172" fontId="5" fillId="0" borderId="5" xfId="0" applyNumberFormat="1" applyFont="1" applyBorder="1" applyAlignment="1">
      <alignment horizontal="left" vertical="center"/>
    </xf>
    <xf numFmtId="0" fontId="9" fillId="0" borderId="5" xfId="2" applyFont="1" applyBorder="1" applyAlignment="1">
      <alignment horizontal="left" vertical="center"/>
    </xf>
    <xf numFmtId="49" fontId="5" fillId="0" borderId="6" xfId="0" applyNumberFormat="1" applyFont="1" applyBorder="1" applyAlignment="1">
      <alignment horizontal="left" vertical="center"/>
    </xf>
    <xf numFmtId="0" fontId="7" fillId="8" borderId="33" xfId="0" applyFont="1" applyFill="1" applyBorder="1" applyAlignment="1">
      <alignment vertical="center"/>
    </xf>
    <xf numFmtId="0" fontId="5" fillId="8" borderId="34" xfId="0" applyFont="1" applyFill="1" applyBorder="1" applyAlignment="1">
      <alignment vertical="center"/>
    </xf>
    <xf numFmtId="0" fontId="7" fillId="8" borderId="34" xfId="0" applyFont="1" applyFill="1" applyBorder="1" applyAlignment="1">
      <alignment vertical="center"/>
    </xf>
    <xf numFmtId="171" fontId="5" fillId="0" borderId="27" xfId="1" applyNumberFormat="1" applyFont="1" applyBorder="1" applyAlignment="1">
      <alignment horizontal="left" vertical="center"/>
    </xf>
    <xf numFmtId="171" fontId="5" fillId="0" borderId="28" xfId="1" applyNumberFormat="1" applyFont="1" applyBorder="1" applyAlignment="1">
      <alignment horizontal="left" vertical="center"/>
    </xf>
    <xf numFmtId="171" fontId="5" fillId="0" borderId="14" xfId="1" applyNumberFormat="1" applyFont="1" applyBorder="1" applyAlignment="1">
      <alignment horizontal="left" vertical="center"/>
    </xf>
    <xf numFmtId="171" fontId="5" fillId="0" borderId="15" xfId="1" applyNumberFormat="1" applyFont="1" applyBorder="1" applyAlignment="1">
      <alignment horizontal="left" vertical="center"/>
    </xf>
    <xf numFmtId="171" fontId="5" fillId="0" borderId="41" xfId="1" applyNumberFormat="1" applyFont="1" applyBorder="1" applyAlignment="1">
      <alignment horizontal="left" vertical="center"/>
    </xf>
    <xf numFmtId="171" fontId="5" fillId="0" borderId="42" xfId="1" applyNumberFormat="1" applyFont="1" applyBorder="1" applyAlignment="1">
      <alignment horizontal="left" vertical="center"/>
    </xf>
    <xf numFmtId="171" fontId="5" fillId="0" borderId="27" xfId="1" applyNumberFormat="1" applyFont="1" applyFill="1" applyBorder="1" applyAlignment="1">
      <alignment horizontal="left" vertical="center"/>
    </xf>
    <xf numFmtId="171" fontId="5" fillId="0" borderId="28" xfId="1" applyNumberFormat="1" applyFont="1" applyFill="1" applyBorder="1" applyAlignment="1">
      <alignment horizontal="left" vertical="center"/>
    </xf>
    <xf numFmtId="171" fontId="5" fillId="0" borderId="14" xfId="1" applyNumberFormat="1" applyFont="1" applyFill="1" applyBorder="1" applyAlignment="1">
      <alignment horizontal="left" vertical="center"/>
    </xf>
    <xf numFmtId="171" fontId="5" fillId="0" borderId="15" xfId="1" applyNumberFormat="1" applyFont="1" applyFill="1" applyBorder="1" applyAlignment="1">
      <alignment horizontal="left" vertical="center"/>
    </xf>
    <xf numFmtId="171" fontId="5" fillId="0" borderId="41" xfId="1" applyNumberFormat="1" applyFont="1" applyFill="1" applyBorder="1" applyAlignment="1">
      <alignment horizontal="left" vertical="center"/>
    </xf>
    <xf numFmtId="171" fontId="5" fillId="0" borderId="42" xfId="1" applyNumberFormat="1" applyFont="1" applyFill="1" applyBorder="1" applyAlignment="1">
      <alignment horizontal="left" vertical="center"/>
    </xf>
    <xf numFmtId="171" fontId="5" fillId="0" borderId="16" xfId="1" applyNumberFormat="1" applyFont="1" applyBorder="1" applyAlignment="1">
      <alignment horizontal="left" vertical="center"/>
    </xf>
    <xf numFmtId="171" fontId="5" fillId="0" borderId="17" xfId="1" applyNumberFormat="1" applyFont="1" applyBorder="1" applyAlignment="1">
      <alignment horizontal="left" vertical="center"/>
    </xf>
    <xf numFmtId="9" fontId="5" fillId="0" borderId="14" xfId="5" applyFont="1" applyFill="1" applyBorder="1" applyAlignment="1">
      <alignment horizontal="right" vertical="center"/>
    </xf>
    <xf numFmtId="44" fontId="5" fillId="0" borderId="41" xfId="1" applyFont="1" applyBorder="1" applyAlignment="1">
      <alignment horizontal="left" vertical="center"/>
    </xf>
    <xf numFmtId="44" fontId="5" fillId="0" borderId="42" xfId="1" applyFont="1" applyBorder="1" applyAlignment="1">
      <alignment horizontal="left" vertical="center"/>
    </xf>
    <xf numFmtId="44" fontId="5" fillId="0" borderId="46" xfId="0" applyNumberFormat="1" applyFont="1" applyBorder="1" applyAlignment="1">
      <alignment horizontal="left" vertical="center"/>
    </xf>
    <xf numFmtId="0" fontId="10" fillId="0" borderId="13" xfId="0" applyFont="1" applyBorder="1" applyAlignment="1">
      <alignment horizontal="center" vertical="center"/>
    </xf>
    <xf numFmtId="0" fontId="11" fillId="0" borderId="13" xfId="0" applyFont="1" applyBorder="1" applyAlignment="1">
      <alignment horizontal="left" vertical="center"/>
    </xf>
    <xf numFmtId="0" fontId="11" fillId="0" borderId="9" xfId="0" applyFont="1" applyBorder="1" applyAlignment="1">
      <alignment horizontal="left" vertical="center"/>
    </xf>
    <xf numFmtId="0" fontId="5" fillId="0" borderId="49" xfId="0" applyFont="1" applyBorder="1" applyAlignment="1">
      <alignment vertical="center"/>
    </xf>
    <xf numFmtId="0" fontId="5" fillId="0" borderId="50" xfId="0" applyFont="1" applyBorder="1" applyAlignment="1">
      <alignment vertical="center"/>
    </xf>
    <xf numFmtId="0" fontId="5" fillId="0" borderId="13" xfId="0" applyFont="1" applyBorder="1" applyAlignment="1">
      <alignment vertical="center"/>
    </xf>
    <xf numFmtId="0" fontId="5" fillId="0" borderId="14" xfId="0" applyFont="1" applyBorder="1" applyAlignment="1">
      <alignment vertical="center"/>
    </xf>
    <xf numFmtId="169" fontId="5" fillId="0" borderId="15" xfId="0" applyNumberFormat="1" applyFont="1" applyBorder="1" applyAlignment="1">
      <alignment vertical="center"/>
    </xf>
    <xf numFmtId="0" fontId="5" fillId="0" borderId="9" xfId="0" applyFont="1" applyBorder="1" applyAlignment="1">
      <alignment vertical="center"/>
    </xf>
    <xf numFmtId="0" fontId="5" fillId="0" borderId="16" xfId="0" applyFont="1" applyBorder="1" applyAlignment="1">
      <alignment vertical="center"/>
    </xf>
    <xf numFmtId="169" fontId="5" fillId="0" borderId="17" xfId="0" applyNumberFormat="1" applyFont="1" applyBorder="1" applyAlignment="1">
      <alignment vertical="center"/>
    </xf>
    <xf numFmtId="3" fontId="11" fillId="0" borderId="15" xfId="0" applyNumberFormat="1" applyFont="1" applyBorder="1" applyAlignment="1">
      <alignment horizontal="left" vertical="center"/>
    </xf>
    <xf numFmtId="168" fontId="11" fillId="0" borderId="15" xfId="0" applyNumberFormat="1" applyFont="1" applyBorder="1" applyAlignment="1">
      <alignment horizontal="left" vertical="center"/>
    </xf>
    <xf numFmtId="43" fontId="5" fillId="0" borderId="15" xfId="3" applyFont="1" applyBorder="1" applyAlignment="1">
      <alignment horizontal="left" vertical="center"/>
    </xf>
    <xf numFmtId="44" fontId="5" fillId="0" borderId="15" xfId="1" applyFont="1" applyBorder="1" applyAlignment="1">
      <alignment horizontal="left" vertical="center"/>
    </xf>
    <xf numFmtId="167" fontId="12" fillId="0" borderId="15" xfId="1" quotePrefix="1" applyNumberFormat="1" applyFont="1" applyBorder="1" applyAlignment="1">
      <alignment horizontal="left" vertical="center"/>
    </xf>
    <xf numFmtId="168" fontId="5" fillId="0" borderId="17" xfId="0" applyNumberFormat="1" applyFont="1" applyBorder="1" applyAlignment="1">
      <alignment horizontal="left" vertical="center"/>
    </xf>
    <xf numFmtId="0" fontId="10" fillId="9" borderId="49" xfId="0" applyFont="1" applyFill="1" applyBorder="1" applyAlignment="1">
      <alignment horizontal="left" vertical="center"/>
    </xf>
    <xf numFmtId="0" fontId="10" fillId="9" borderId="9" xfId="0" applyFont="1" applyFill="1" applyBorder="1" applyAlignment="1">
      <alignment horizontal="left" vertical="center"/>
    </xf>
    <xf numFmtId="3" fontId="9" fillId="0" borderId="15" xfId="4" applyNumberFormat="1" applyFont="1" applyBorder="1" applyAlignment="1">
      <alignment horizontal="right" vertical="center"/>
    </xf>
    <xf numFmtId="3" fontId="9" fillId="0" borderId="17" xfId="4" applyNumberFormat="1" applyFont="1" applyBorder="1" applyAlignment="1">
      <alignment horizontal="right" vertical="center"/>
    </xf>
    <xf numFmtId="164" fontId="9" fillId="0" borderId="15" xfId="4" applyNumberFormat="1" applyFont="1" applyBorder="1" applyAlignment="1">
      <alignment horizontal="right" vertical="center"/>
    </xf>
    <xf numFmtId="42" fontId="8" fillId="5" borderId="16" xfId="0" applyNumberFormat="1" applyFont="1" applyFill="1" applyBorder="1" applyAlignment="1">
      <alignment horizontal="left" vertical="center"/>
    </xf>
    <xf numFmtId="1" fontId="9" fillId="0" borderId="17" xfId="4" applyNumberFormat="1" applyFont="1" applyBorder="1" applyAlignment="1">
      <alignment horizontal="right" vertical="center"/>
    </xf>
    <xf numFmtId="0" fontId="7" fillId="0" borderId="13" xfId="0" applyFont="1" applyBorder="1" applyAlignment="1">
      <alignment horizontal="center" vertical="center"/>
    </xf>
    <xf numFmtId="0" fontId="7" fillId="0" borderId="14" xfId="0" applyFont="1" applyBorder="1" applyAlignment="1">
      <alignment vertical="center"/>
    </xf>
    <xf numFmtId="9" fontId="7" fillId="3" borderId="13" xfId="0" applyNumberFormat="1" applyFont="1" applyFill="1" applyBorder="1" applyAlignment="1">
      <alignment horizontal="right" vertical="center"/>
    </xf>
    <xf numFmtId="9" fontId="7" fillId="3" borderId="14" xfId="0" applyNumberFormat="1" applyFont="1" applyFill="1" applyBorder="1" applyAlignment="1">
      <alignment vertical="center"/>
    </xf>
    <xf numFmtId="42" fontId="7" fillId="0" borderId="14" xfId="0" applyNumberFormat="1" applyFont="1" applyBorder="1" applyAlignment="1">
      <alignment horizontal="left" vertical="center"/>
    </xf>
    <xf numFmtId="42" fontId="7" fillId="0" borderId="16" xfId="0" applyNumberFormat="1" applyFont="1" applyBorder="1" applyAlignment="1">
      <alignment horizontal="left" vertical="center"/>
    </xf>
    <xf numFmtId="164" fontId="5" fillId="0" borderId="15" xfId="0" applyNumberFormat="1" applyFont="1" applyBorder="1" applyAlignment="1">
      <alignment horizontal="right" vertical="center"/>
    </xf>
    <xf numFmtId="1" fontId="5" fillId="0" borderId="47" xfId="0" applyNumberFormat="1" applyFont="1" applyBorder="1" applyAlignment="1">
      <alignment horizontal="right" vertical="center"/>
    </xf>
    <xf numFmtId="1" fontId="5" fillId="0" borderId="48" xfId="0" applyNumberFormat="1" applyFont="1" applyBorder="1" applyAlignment="1">
      <alignment horizontal="right" vertical="center"/>
    </xf>
    <xf numFmtId="0" fontId="5" fillId="11" borderId="35" xfId="0" applyFont="1" applyFill="1" applyBorder="1" applyAlignment="1">
      <alignment vertical="center"/>
    </xf>
    <xf numFmtId="0" fontId="13" fillId="8" borderId="23" xfId="0" applyFont="1" applyFill="1" applyBorder="1" applyAlignment="1">
      <alignment horizontal="center" vertical="center"/>
    </xf>
    <xf numFmtId="0" fontId="13" fillId="8" borderId="24" xfId="0" applyFont="1" applyFill="1" applyBorder="1" applyAlignment="1">
      <alignment horizontal="center" vertical="center"/>
    </xf>
    <xf numFmtId="0" fontId="13" fillId="8" borderId="25" xfId="0" applyFont="1" applyFill="1" applyBorder="1" applyAlignment="1">
      <alignment horizontal="center" vertical="center"/>
    </xf>
    <xf numFmtId="0" fontId="7" fillId="0" borderId="37" xfId="0" applyFont="1" applyBorder="1" applyAlignment="1">
      <alignment horizontal="center" vertical="center"/>
    </xf>
    <xf numFmtId="0" fontId="7" fillId="0" borderId="38" xfId="0" applyFont="1" applyBorder="1" applyAlignment="1">
      <alignment horizontal="center" vertical="center"/>
    </xf>
    <xf numFmtId="0" fontId="7" fillId="0" borderId="39" xfId="0" applyFont="1" applyBorder="1" applyAlignment="1">
      <alignment horizontal="center" vertical="center"/>
    </xf>
    <xf numFmtId="0" fontId="5" fillId="0" borderId="1" xfId="0" applyFont="1" applyBorder="1" applyAlignment="1">
      <alignment horizontal="left" vertical="center" wrapText="1"/>
    </xf>
    <xf numFmtId="0" fontId="5" fillId="0" borderId="31" xfId="0" applyFont="1" applyBorder="1" applyAlignment="1">
      <alignment horizontal="left" vertical="center" wrapText="1"/>
    </xf>
    <xf numFmtId="0" fontId="5" fillId="0" borderId="36" xfId="0" applyFont="1" applyBorder="1" applyAlignment="1">
      <alignment horizontal="left" vertical="center" wrapText="1"/>
    </xf>
    <xf numFmtId="0" fontId="5" fillId="0" borderId="4" xfId="0" applyFont="1" applyBorder="1" applyAlignment="1">
      <alignment horizontal="left" vertical="center" wrapText="1"/>
    </xf>
    <xf numFmtId="0" fontId="5" fillId="0" borderId="5" xfId="0" applyFont="1" applyBorder="1" applyAlignment="1">
      <alignment horizontal="left" vertical="center" wrapText="1"/>
    </xf>
    <xf numFmtId="0" fontId="5" fillId="0" borderId="6" xfId="0" applyFont="1" applyBorder="1" applyAlignment="1">
      <alignment horizontal="left" vertical="center" wrapText="1"/>
    </xf>
    <xf numFmtId="0" fontId="7" fillId="0" borderId="43" xfId="0" applyFont="1" applyBorder="1" applyAlignment="1">
      <alignment horizontal="center" vertical="center"/>
    </xf>
    <xf numFmtId="0" fontId="0" fillId="0" borderId="44" xfId="0" applyBorder="1" applyAlignment="1">
      <alignment horizontal="center" vertical="center"/>
    </xf>
    <xf numFmtId="0" fontId="0" fillId="0" borderId="45" xfId="0" applyBorder="1" applyAlignment="1">
      <alignment horizontal="center" vertical="center"/>
    </xf>
    <xf numFmtId="0" fontId="10" fillId="0" borderId="14" xfId="0" applyFont="1" applyBorder="1" applyAlignment="1">
      <alignment horizontal="center" vertical="center"/>
    </xf>
    <xf numFmtId="0" fontId="10" fillId="0" borderId="14" xfId="0" applyFont="1" applyBorder="1" applyAlignment="1">
      <alignment horizontal="left" vertical="center"/>
    </xf>
    <xf numFmtId="0" fontId="10" fillId="0" borderId="15" xfId="0" applyFont="1" applyBorder="1" applyAlignment="1">
      <alignment horizontal="left" vertical="center"/>
    </xf>
    <xf numFmtId="0" fontId="6" fillId="7" borderId="10" xfId="2" applyFont="1" applyFill="1" applyBorder="1" applyAlignment="1">
      <alignment horizontal="center" vertical="center"/>
    </xf>
    <xf numFmtId="0" fontId="6" fillId="7" borderId="11" xfId="2" applyFont="1" applyFill="1" applyBorder="1" applyAlignment="1">
      <alignment horizontal="center" vertical="center"/>
    </xf>
    <xf numFmtId="0" fontId="6" fillId="7" borderId="12" xfId="2" applyFont="1" applyFill="1" applyBorder="1" applyAlignment="1">
      <alignment horizontal="center" vertical="center"/>
    </xf>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14" fontId="7" fillId="7" borderId="33" xfId="0" applyNumberFormat="1" applyFont="1" applyFill="1" applyBorder="1" applyAlignment="1">
      <alignment horizontal="center" vertical="center"/>
    </xf>
    <xf numFmtId="14" fontId="7" fillId="7" borderId="34" xfId="0" applyNumberFormat="1" applyFont="1" applyFill="1" applyBorder="1" applyAlignment="1">
      <alignment horizontal="center" vertical="center"/>
    </xf>
    <xf numFmtId="14" fontId="10" fillId="10" borderId="33" xfId="0" applyNumberFormat="1" applyFont="1" applyFill="1" applyBorder="1" applyAlignment="1">
      <alignment horizontal="center" vertical="center"/>
    </xf>
    <xf numFmtId="14" fontId="10" fillId="10" borderId="34" xfId="0" applyNumberFormat="1" applyFont="1" applyFill="1" applyBorder="1" applyAlignment="1">
      <alignment horizontal="center" vertical="center"/>
    </xf>
    <xf numFmtId="0" fontId="11" fillId="0" borderId="16" xfId="0" applyFont="1" applyBorder="1" applyAlignment="1">
      <alignment horizontal="left" vertical="center"/>
    </xf>
    <xf numFmtId="0" fontId="11" fillId="0" borderId="17" xfId="0" applyFont="1" applyBorder="1" applyAlignment="1">
      <alignment horizontal="left" vertical="center"/>
    </xf>
    <xf numFmtId="0" fontId="5" fillId="0" borderId="52" xfId="0" applyFont="1" applyBorder="1" applyAlignment="1">
      <alignment horizontal="center"/>
    </xf>
    <xf numFmtId="165" fontId="9" fillId="0" borderId="9" xfId="4" applyNumberFormat="1" applyFont="1" applyFill="1" applyBorder="1" applyAlignment="1">
      <alignment horizontal="left" vertical="center"/>
    </xf>
    <xf numFmtId="165" fontId="9" fillId="0" borderId="16" xfId="4" applyNumberFormat="1" applyFont="1" applyFill="1" applyBorder="1" applyAlignment="1">
      <alignment horizontal="left" vertical="center"/>
    </xf>
    <xf numFmtId="0" fontId="9" fillId="0" borderId="13" xfId="2" applyFont="1" applyBorder="1" applyAlignment="1">
      <alignment horizontal="left" vertical="center"/>
    </xf>
    <xf numFmtId="0" fontId="9" fillId="0" borderId="14" xfId="2" applyFont="1" applyBorder="1" applyAlignment="1">
      <alignment horizontal="left" vertical="center"/>
    </xf>
    <xf numFmtId="165" fontId="9" fillId="0" borderId="13" xfId="4" applyNumberFormat="1" applyFont="1" applyBorder="1" applyAlignment="1">
      <alignment horizontal="left" vertical="center" wrapText="1"/>
    </xf>
    <xf numFmtId="165" fontId="9" fillId="0" borderId="14" xfId="4" applyNumberFormat="1" applyFont="1" applyBorder="1" applyAlignment="1">
      <alignment horizontal="left" vertical="center" wrapText="1"/>
    </xf>
    <xf numFmtId="165" fontId="9" fillId="0" borderId="13" xfId="4" applyNumberFormat="1" applyFont="1" applyBorder="1" applyAlignment="1">
      <alignment horizontal="left" vertical="center"/>
    </xf>
    <xf numFmtId="165" fontId="9" fillId="0" borderId="14" xfId="4" applyNumberFormat="1" applyFont="1" applyBorder="1" applyAlignment="1">
      <alignment horizontal="left" vertical="center"/>
    </xf>
    <xf numFmtId="0" fontId="9" fillId="0" borderId="9" xfId="2" applyFont="1" applyBorder="1" applyAlignment="1">
      <alignment horizontal="left" vertical="center" wrapText="1"/>
    </xf>
    <xf numFmtId="0" fontId="9" fillId="0" borderId="16" xfId="2" applyFont="1" applyBorder="1" applyAlignment="1">
      <alignment horizontal="left" vertical="center" wrapText="1"/>
    </xf>
    <xf numFmtId="0" fontId="5" fillId="0" borderId="13" xfId="0" applyFont="1" applyBorder="1" applyAlignment="1">
      <alignment horizontal="left" vertical="center"/>
    </xf>
    <xf numFmtId="0" fontId="5" fillId="0" borderId="14" xfId="0" applyFont="1" applyBorder="1" applyAlignment="1">
      <alignment horizontal="left" vertical="center"/>
    </xf>
    <xf numFmtId="0" fontId="9" fillId="0" borderId="9" xfId="2" applyFont="1" applyBorder="1" applyAlignment="1">
      <alignment horizontal="left" vertical="center"/>
    </xf>
    <xf numFmtId="0" fontId="9" fillId="0" borderId="16" xfId="2" applyFont="1" applyBorder="1" applyAlignment="1">
      <alignment horizontal="left" vertical="center"/>
    </xf>
    <xf numFmtId="0" fontId="11" fillId="0" borderId="50" xfId="0" applyFont="1" applyBorder="1" applyAlignment="1">
      <alignment horizontal="left" vertical="center"/>
    </xf>
    <xf numFmtId="0" fontId="11" fillId="0" borderId="51" xfId="0" applyFont="1" applyBorder="1" applyAlignment="1">
      <alignment horizontal="left" vertical="center"/>
    </xf>
    <xf numFmtId="0" fontId="11" fillId="0" borderId="14" xfId="0" applyFont="1" applyBorder="1" applyAlignment="1">
      <alignment horizontal="left" vertical="center"/>
    </xf>
    <xf numFmtId="0" fontId="11" fillId="0" borderId="15" xfId="0" applyFont="1" applyBorder="1" applyAlignment="1">
      <alignment horizontal="left" vertical="center"/>
    </xf>
    <xf numFmtId="0" fontId="5" fillId="0" borderId="26" xfId="0" applyFont="1" applyBorder="1" applyAlignment="1">
      <alignment horizontal="left" vertical="center" wrapText="1"/>
    </xf>
    <xf numFmtId="0" fontId="5" fillId="0" borderId="30" xfId="0" applyFont="1" applyBorder="1" applyAlignment="1">
      <alignment horizontal="left" vertical="center" wrapText="1"/>
    </xf>
    <xf numFmtId="0" fontId="5" fillId="0" borderId="32" xfId="0" applyFont="1" applyBorder="1" applyAlignment="1">
      <alignment horizontal="left" vertical="center" wrapText="1"/>
    </xf>
    <xf numFmtId="0" fontId="5" fillId="0" borderId="2" xfId="0" applyFont="1" applyBorder="1" applyAlignment="1">
      <alignment horizontal="left" vertical="center" wrapText="1"/>
    </xf>
    <xf numFmtId="0" fontId="5" fillId="0" borderId="0" xfId="0" applyFont="1" applyAlignment="1">
      <alignment horizontal="left" vertical="center" wrapText="1"/>
    </xf>
    <xf numFmtId="0" fontId="5" fillId="0" borderId="3" xfId="0" applyFont="1" applyBorder="1" applyAlignment="1">
      <alignment horizontal="left" vertical="center" wrapText="1"/>
    </xf>
    <xf numFmtId="15" fontId="5" fillId="0" borderId="50" xfId="0" applyNumberFormat="1" applyFont="1" applyBorder="1" applyAlignment="1">
      <alignment vertical="center"/>
    </xf>
    <xf numFmtId="10" fontId="5" fillId="0" borderId="51" xfId="0" applyNumberFormat="1" applyFont="1" applyBorder="1" applyAlignment="1">
      <alignment vertical="center"/>
    </xf>
    <xf numFmtId="14" fontId="5" fillId="8" borderId="34" xfId="0" applyNumberFormat="1" applyFont="1" applyFill="1" applyBorder="1" applyAlignment="1">
      <alignment vertical="center"/>
    </xf>
  </cellXfs>
  <cellStyles count="32">
    <cellStyle name="Comma" xfId="3" builtinId="3"/>
    <cellStyle name="Comma 2 2" xfId="4" xr:uid="{00000000-0005-0000-0000-000001000000}"/>
    <cellStyle name="Currency" xfId="1" builtin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Normal" xfId="0" builtinId="0"/>
    <cellStyle name="Normal 2 2" xfId="2" xr:uid="{00000000-0005-0000-0000-00001E000000}"/>
    <cellStyle name="Percent" xfId="5" builtinId="5"/>
  </cellStyles>
  <dxfs count="17">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6"/>
      <tableStyleElement type="headerRow" dxfId="15"/>
    </tableStyle>
  </tableStyles>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6</a:t>
            </a:r>
            <a:r>
              <a:rPr lang="en-US" baseline="0"/>
              <a:t> Month History</a:t>
            </a:r>
            <a:endParaRPr lang="en-US"/>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
        <c:idx val="6"/>
        <c:spPr>
          <a:solidFill>
            <a:schemeClr val="accent1"/>
          </a:solidFill>
          <a:ln>
            <a:noFill/>
          </a:ln>
          <a:effectLst/>
        </c:spPr>
        <c:marker>
          <c:symbol val="none"/>
        </c:marker>
      </c:pivotFmt>
      <c:pivotFmt>
        <c:idx val="7"/>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s>
    <c:plotArea>
      <c:layout/>
      <c:barChart>
        <c:barDir val="col"/>
        <c:grouping val="clustered"/>
        <c:varyColors val="0"/>
        <c:ser>
          <c:idx val="1"/>
          <c:order val="1"/>
          <c:tx>
            <c:strRef>
              <c:f>'Filtered Data'!$C$2</c:f>
              <c:strCache>
                <c:ptCount val="1"/>
                <c:pt idx="0">
                  <c:v>Value Traded</c:v>
                </c:pt>
              </c:strCache>
            </c:strRef>
          </c:tx>
          <c:spPr>
            <a:solidFill>
              <a:schemeClr val="accent2"/>
            </a:solidFill>
            <a:ln>
              <a:noFill/>
            </a:ln>
            <a:effectLst/>
          </c:spPr>
          <c:invertIfNegative val="0"/>
          <c:cat>
            <c:numRef>
              <c:f>'Filtered Data'!$A$3:$A$125</c:f>
              <c:numCache>
                <c:formatCode>m/d/yyyy</c:formatCode>
                <c:ptCount val="123"/>
                <c:pt idx="0">
                  <c:v>44443</c:v>
                </c:pt>
                <c:pt idx="1">
                  <c:v>44446</c:v>
                </c:pt>
                <c:pt idx="2">
                  <c:v>44447</c:v>
                </c:pt>
                <c:pt idx="3">
                  <c:v>44448</c:v>
                </c:pt>
                <c:pt idx="4">
                  <c:v>44449</c:v>
                </c:pt>
                <c:pt idx="5">
                  <c:v>44450</c:v>
                </c:pt>
                <c:pt idx="6">
                  <c:v>44453</c:v>
                </c:pt>
                <c:pt idx="7">
                  <c:v>44454</c:v>
                </c:pt>
                <c:pt idx="8">
                  <c:v>44455</c:v>
                </c:pt>
                <c:pt idx="9">
                  <c:v>44456</c:v>
                </c:pt>
                <c:pt idx="10">
                  <c:v>44457</c:v>
                </c:pt>
                <c:pt idx="11">
                  <c:v>44460</c:v>
                </c:pt>
                <c:pt idx="12">
                  <c:v>44461</c:v>
                </c:pt>
                <c:pt idx="13">
                  <c:v>44462</c:v>
                </c:pt>
                <c:pt idx="14">
                  <c:v>44463</c:v>
                </c:pt>
                <c:pt idx="15">
                  <c:v>44464</c:v>
                </c:pt>
                <c:pt idx="16">
                  <c:v>44467</c:v>
                </c:pt>
                <c:pt idx="17">
                  <c:v>44468</c:v>
                </c:pt>
                <c:pt idx="18">
                  <c:v>44469</c:v>
                </c:pt>
                <c:pt idx="19">
                  <c:v>44470</c:v>
                </c:pt>
                <c:pt idx="20">
                  <c:v>44471</c:v>
                </c:pt>
                <c:pt idx="21">
                  <c:v>44474</c:v>
                </c:pt>
                <c:pt idx="22">
                  <c:v>44475</c:v>
                </c:pt>
                <c:pt idx="23">
                  <c:v>44476</c:v>
                </c:pt>
                <c:pt idx="24">
                  <c:v>44477</c:v>
                </c:pt>
                <c:pt idx="25">
                  <c:v>44478</c:v>
                </c:pt>
                <c:pt idx="26">
                  <c:v>44481</c:v>
                </c:pt>
                <c:pt idx="27">
                  <c:v>44482</c:v>
                </c:pt>
                <c:pt idx="28">
                  <c:v>44483</c:v>
                </c:pt>
                <c:pt idx="29">
                  <c:v>44484</c:v>
                </c:pt>
                <c:pt idx="30">
                  <c:v>44485</c:v>
                </c:pt>
                <c:pt idx="31">
                  <c:v>44488</c:v>
                </c:pt>
                <c:pt idx="32">
                  <c:v>44489</c:v>
                </c:pt>
                <c:pt idx="33">
                  <c:v>44490</c:v>
                </c:pt>
                <c:pt idx="34">
                  <c:v>44491</c:v>
                </c:pt>
                <c:pt idx="35">
                  <c:v>44492</c:v>
                </c:pt>
                <c:pt idx="36">
                  <c:v>44495</c:v>
                </c:pt>
                <c:pt idx="37">
                  <c:v>44496</c:v>
                </c:pt>
                <c:pt idx="38">
                  <c:v>44497</c:v>
                </c:pt>
                <c:pt idx="39">
                  <c:v>44498</c:v>
                </c:pt>
                <c:pt idx="40">
                  <c:v>44499</c:v>
                </c:pt>
                <c:pt idx="41">
                  <c:v>44502</c:v>
                </c:pt>
                <c:pt idx="42">
                  <c:v>44503</c:v>
                </c:pt>
                <c:pt idx="43">
                  <c:v>44504</c:v>
                </c:pt>
                <c:pt idx="44">
                  <c:v>44505</c:v>
                </c:pt>
                <c:pt idx="45">
                  <c:v>44506</c:v>
                </c:pt>
                <c:pt idx="46">
                  <c:v>44509</c:v>
                </c:pt>
                <c:pt idx="47">
                  <c:v>44510</c:v>
                </c:pt>
                <c:pt idx="48">
                  <c:v>44511</c:v>
                </c:pt>
                <c:pt idx="49">
                  <c:v>44512</c:v>
                </c:pt>
                <c:pt idx="50">
                  <c:v>44513</c:v>
                </c:pt>
                <c:pt idx="51">
                  <c:v>44516</c:v>
                </c:pt>
                <c:pt idx="52">
                  <c:v>44517</c:v>
                </c:pt>
                <c:pt idx="53">
                  <c:v>44518</c:v>
                </c:pt>
                <c:pt idx="54">
                  <c:v>44519</c:v>
                </c:pt>
                <c:pt idx="55">
                  <c:v>44520</c:v>
                </c:pt>
                <c:pt idx="56">
                  <c:v>44523</c:v>
                </c:pt>
                <c:pt idx="57">
                  <c:v>44524</c:v>
                </c:pt>
                <c:pt idx="58">
                  <c:v>44525</c:v>
                </c:pt>
                <c:pt idx="59">
                  <c:v>44527</c:v>
                </c:pt>
                <c:pt idx="60">
                  <c:v>44530</c:v>
                </c:pt>
                <c:pt idx="61">
                  <c:v>44531</c:v>
                </c:pt>
                <c:pt idx="62">
                  <c:v>44532</c:v>
                </c:pt>
                <c:pt idx="63">
                  <c:v>44533</c:v>
                </c:pt>
                <c:pt idx="64">
                  <c:v>44534</c:v>
                </c:pt>
                <c:pt idx="65">
                  <c:v>44537</c:v>
                </c:pt>
                <c:pt idx="66">
                  <c:v>44538</c:v>
                </c:pt>
                <c:pt idx="67">
                  <c:v>44539</c:v>
                </c:pt>
                <c:pt idx="68">
                  <c:v>44540</c:v>
                </c:pt>
                <c:pt idx="69">
                  <c:v>44541</c:v>
                </c:pt>
                <c:pt idx="70">
                  <c:v>44544</c:v>
                </c:pt>
                <c:pt idx="71">
                  <c:v>44545</c:v>
                </c:pt>
                <c:pt idx="72">
                  <c:v>44546</c:v>
                </c:pt>
                <c:pt idx="73">
                  <c:v>44547</c:v>
                </c:pt>
                <c:pt idx="74">
                  <c:v>44548</c:v>
                </c:pt>
                <c:pt idx="75">
                  <c:v>44551</c:v>
                </c:pt>
                <c:pt idx="76">
                  <c:v>44552</c:v>
                </c:pt>
                <c:pt idx="77">
                  <c:v>44553</c:v>
                </c:pt>
                <c:pt idx="78">
                  <c:v>44555</c:v>
                </c:pt>
                <c:pt idx="79">
                  <c:v>44558</c:v>
                </c:pt>
                <c:pt idx="80">
                  <c:v>44559</c:v>
                </c:pt>
                <c:pt idx="81">
                  <c:v>44560</c:v>
                </c:pt>
                <c:pt idx="82">
                  <c:v>44562</c:v>
                </c:pt>
                <c:pt idx="83">
                  <c:v>44565</c:v>
                </c:pt>
                <c:pt idx="84">
                  <c:v>44566</c:v>
                </c:pt>
                <c:pt idx="85">
                  <c:v>44567</c:v>
                </c:pt>
                <c:pt idx="86">
                  <c:v>44568</c:v>
                </c:pt>
                <c:pt idx="87">
                  <c:v>44569</c:v>
                </c:pt>
                <c:pt idx="88">
                  <c:v>44572</c:v>
                </c:pt>
                <c:pt idx="89">
                  <c:v>44573</c:v>
                </c:pt>
                <c:pt idx="90">
                  <c:v>44574</c:v>
                </c:pt>
                <c:pt idx="91">
                  <c:v>44575</c:v>
                </c:pt>
                <c:pt idx="92">
                  <c:v>44576</c:v>
                </c:pt>
                <c:pt idx="93">
                  <c:v>44580</c:v>
                </c:pt>
                <c:pt idx="94">
                  <c:v>44581</c:v>
                </c:pt>
                <c:pt idx="95">
                  <c:v>44582</c:v>
                </c:pt>
                <c:pt idx="96">
                  <c:v>44583</c:v>
                </c:pt>
                <c:pt idx="97">
                  <c:v>44586</c:v>
                </c:pt>
                <c:pt idx="98">
                  <c:v>44587</c:v>
                </c:pt>
                <c:pt idx="99">
                  <c:v>44588</c:v>
                </c:pt>
                <c:pt idx="100">
                  <c:v>44589</c:v>
                </c:pt>
                <c:pt idx="101">
                  <c:v>44590</c:v>
                </c:pt>
                <c:pt idx="102">
                  <c:v>44593</c:v>
                </c:pt>
                <c:pt idx="103">
                  <c:v>44594</c:v>
                </c:pt>
                <c:pt idx="104">
                  <c:v>44595</c:v>
                </c:pt>
                <c:pt idx="105">
                  <c:v>44596</c:v>
                </c:pt>
                <c:pt idx="106">
                  <c:v>44597</c:v>
                </c:pt>
                <c:pt idx="107">
                  <c:v>44600</c:v>
                </c:pt>
                <c:pt idx="108">
                  <c:v>44601</c:v>
                </c:pt>
                <c:pt idx="109">
                  <c:v>44602</c:v>
                </c:pt>
                <c:pt idx="110">
                  <c:v>44603</c:v>
                </c:pt>
                <c:pt idx="111">
                  <c:v>44604</c:v>
                </c:pt>
                <c:pt idx="112">
                  <c:v>44608</c:v>
                </c:pt>
                <c:pt idx="113">
                  <c:v>44609</c:v>
                </c:pt>
                <c:pt idx="114">
                  <c:v>44610</c:v>
                </c:pt>
                <c:pt idx="115">
                  <c:v>44611</c:v>
                </c:pt>
                <c:pt idx="116">
                  <c:v>44614</c:v>
                </c:pt>
                <c:pt idx="117">
                  <c:v>44615</c:v>
                </c:pt>
                <c:pt idx="118">
                  <c:v>44616</c:v>
                </c:pt>
                <c:pt idx="119">
                  <c:v>44617</c:v>
                </c:pt>
                <c:pt idx="120">
                  <c:v>44618</c:v>
                </c:pt>
                <c:pt idx="121">
                  <c:v>44621</c:v>
                </c:pt>
                <c:pt idx="122">
                  <c:v>44622</c:v>
                </c:pt>
              </c:numCache>
            </c:numRef>
          </c:cat>
          <c:val>
            <c:numRef>
              <c:f>'Filtered Data'!$C$3:$C$125</c:f>
              <c:numCache>
                <c:formatCode>_("$"* #,##0.00_);_("$"* \(#,##0.00\);_("$"* "-"??_);_(@_)</c:formatCode>
                <c:ptCount val="123"/>
                <c:pt idx="0">
                  <c:v>62957.923599999995</c:v>
                </c:pt>
                <c:pt idx="1">
                  <c:v>138309.69680000001</c:v>
                </c:pt>
                <c:pt idx="2">
                  <c:v>91693.280500000008</c:v>
                </c:pt>
                <c:pt idx="3">
                  <c:v>43143.547500000001</c:v>
                </c:pt>
                <c:pt idx="4">
                  <c:v>88472.29105</c:v>
                </c:pt>
                <c:pt idx="5">
                  <c:v>26147.357800000002</c:v>
                </c:pt>
                <c:pt idx="6">
                  <c:v>146683.44644999999</c:v>
                </c:pt>
                <c:pt idx="7">
                  <c:v>119993.2455</c:v>
                </c:pt>
                <c:pt idx="8">
                  <c:v>46196.761200000001</c:v>
                </c:pt>
                <c:pt idx="9">
                  <c:v>94260.963799999998</c:v>
                </c:pt>
                <c:pt idx="10">
                  <c:v>163234.40087500002</c:v>
                </c:pt>
                <c:pt idx="11">
                  <c:v>141098.47499999998</c:v>
                </c:pt>
                <c:pt idx="12">
                  <c:v>105720.3186</c:v>
                </c:pt>
                <c:pt idx="13">
                  <c:v>182507.99857499998</c:v>
                </c:pt>
                <c:pt idx="14">
                  <c:v>621100.64209999994</c:v>
                </c:pt>
                <c:pt idx="15">
                  <c:v>219880.81200000001</c:v>
                </c:pt>
                <c:pt idx="16">
                  <c:v>180421.33049999998</c:v>
                </c:pt>
                <c:pt idx="17">
                  <c:v>190804.17089999997</c:v>
                </c:pt>
                <c:pt idx="18">
                  <c:v>49517.128850000001</c:v>
                </c:pt>
                <c:pt idx="19">
                  <c:v>79421.963199999998</c:v>
                </c:pt>
                <c:pt idx="20">
                  <c:v>103036.51699999999</c:v>
                </c:pt>
                <c:pt idx="21">
                  <c:v>89455.164900000003</c:v>
                </c:pt>
                <c:pt idx="22">
                  <c:v>207598.45545000001</c:v>
                </c:pt>
                <c:pt idx="23">
                  <c:v>107456.11500000001</c:v>
                </c:pt>
                <c:pt idx="24">
                  <c:v>69282.781950000004</c:v>
                </c:pt>
                <c:pt idx="25">
                  <c:v>48293.152000000009</c:v>
                </c:pt>
                <c:pt idx="26">
                  <c:v>94261.820800000001</c:v>
                </c:pt>
                <c:pt idx="27">
                  <c:v>116849.876</c:v>
                </c:pt>
                <c:pt idx="28">
                  <c:v>63140.642774999993</c:v>
                </c:pt>
                <c:pt idx="29">
                  <c:v>39575.301500000001</c:v>
                </c:pt>
                <c:pt idx="30">
                  <c:v>74240.046124999993</c:v>
                </c:pt>
                <c:pt idx="31">
                  <c:v>113379.19649999999</c:v>
                </c:pt>
                <c:pt idx="32">
                  <c:v>86534.06719999999</c:v>
                </c:pt>
                <c:pt idx="33">
                  <c:v>64526.115749999997</c:v>
                </c:pt>
                <c:pt idx="34">
                  <c:v>69899.748049999995</c:v>
                </c:pt>
                <c:pt idx="35">
                  <c:v>60523.044799999996</c:v>
                </c:pt>
                <c:pt idx="36">
                  <c:v>57170.183499999999</c:v>
                </c:pt>
                <c:pt idx="37">
                  <c:v>51438.898250000006</c:v>
                </c:pt>
                <c:pt idx="38">
                  <c:v>34611.115249999995</c:v>
                </c:pt>
                <c:pt idx="39">
                  <c:v>87695.759024999992</c:v>
                </c:pt>
                <c:pt idx="40">
                  <c:v>27410.625250000001</c:v>
                </c:pt>
                <c:pt idx="41">
                  <c:v>153964.47160000002</c:v>
                </c:pt>
                <c:pt idx="42">
                  <c:v>75352.845000000001</c:v>
                </c:pt>
                <c:pt idx="43">
                  <c:v>43513.713249999993</c:v>
                </c:pt>
                <c:pt idx="44">
                  <c:v>124436.13040000001</c:v>
                </c:pt>
                <c:pt idx="45">
                  <c:v>74679.422124999983</c:v>
                </c:pt>
                <c:pt idx="46">
                  <c:v>60351.814274999997</c:v>
                </c:pt>
                <c:pt idx="47">
                  <c:v>73569.286850000004</c:v>
                </c:pt>
                <c:pt idx="48">
                  <c:v>124503.74334999999</c:v>
                </c:pt>
                <c:pt idx="49">
                  <c:v>37694.452499999999</c:v>
                </c:pt>
                <c:pt idx="50">
                  <c:v>79517.165524999989</c:v>
                </c:pt>
                <c:pt idx="51">
                  <c:v>141404.70735000001</c:v>
                </c:pt>
                <c:pt idx="52">
                  <c:v>110733.17800000001</c:v>
                </c:pt>
                <c:pt idx="53">
                  <c:v>85467.497425000009</c:v>
                </c:pt>
                <c:pt idx="54">
                  <c:v>52392.133549999999</c:v>
                </c:pt>
                <c:pt idx="55">
                  <c:v>60615.320400000011</c:v>
                </c:pt>
                <c:pt idx="56">
                  <c:v>89515.073700000008</c:v>
                </c:pt>
                <c:pt idx="57">
                  <c:v>94835.060299999997</c:v>
                </c:pt>
                <c:pt idx="58">
                  <c:v>58141.015500000001</c:v>
                </c:pt>
                <c:pt idx="59">
                  <c:v>37367.932874999999</c:v>
                </c:pt>
                <c:pt idx="60">
                  <c:v>65312.257625000006</c:v>
                </c:pt>
                <c:pt idx="61">
                  <c:v>48603.855000000003</c:v>
                </c:pt>
                <c:pt idx="62">
                  <c:v>72192.876975000006</c:v>
                </c:pt>
                <c:pt idx="63">
                  <c:v>54147.083399999996</c:v>
                </c:pt>
                <c:pt idx="64">
                  <c:v>57683.1466</c:v>
                </c:pt>
                <c:pt idx="65">
                  <c:v>43007.794850000006</c:v>
                </c:pt>
                <c:pt idx="66">
                  <c:v>96849.995775000003</c:v>
                </c:pt>
                <c:pt idx="67">
                  <c:v>54768.635999999999</c:v>
                </c:pt>
                <c:pt idx="68">
                  <c:v>34142.232600000003</c:v>
                </c:pt>
                <c:pt idx="69">
                  <c:v>39789.560950000006</c:v>
                </c:pt>
                <c:pt idx="70">
                  <c:v>39251.946800000005</c:v>
                </c:pt>
                <c:pt idx="71">
                  <c:v>82430.664900000003</c:v>
                </c:pt>
                <c:pt idx="72">
                  <c:v>45642.814750000005</c:v>
                </c:pt>
                <c:pt idx="73">
                  <c:v>52699.389049999998</c:v>
                </c:pt>
                <c:pt idx="74">
                  <c:v>23768.075500000003</c:v>
                </c:pt>
                <c:pt idx="75">
                  <c:v>55709.045000000006</c:v>
                </c:pt>
                <c:pt idx="76">
                  <c:v>47174.001225</c:v>
                </c:pt>
                <c:pt idx="77">
                  <c:v>27651.185100000002</c:v>
                </c:pt>
                <c:pt idx="78">
                  <c:v>13943.328000000001</c:v>
                </c:pt>
                <c:pt idx="79">
                  <c:v>68602.928625</c:v>
                </c:pt>
                <c:pt idx="80">
                  <c:v>21379.491000000002</c:v>
                </c:pt>
                <c:pt idx="81">
                  <c:v>68412.885999999999</c:v>
                </c:pt>
                <c:pt idx="82">
                  <c:v>37174.170299999998</c:v>
                </c:pt>
                <c:pt idx="83">
                  <c:v>34987.340000000004</c:v>
                </c:pt>
                <c:pt idx="84">
                  <c:v>53109.094599999997</c:v>
                </c:pt>
                <c:pt idx="85">
                  <c:v>16772.299200000001</c:v>
                </c:pt>
                <c:pt idx="86">
                  <c:v>127274.19580000002</c:v>
                </c:pt>
                <c:pt idx="87">
                  <c:v>34510.904999999999</c:v>
                </c:pt>
                <c:pt idx="88">
                  <c:v>92662.101299999995</c:v>
                </c:pt>
                <c:pt idx="89">
                  <c:v>239222.47590000002</c:v>
                </c:pt>
                <c:pt idx="90">
                  <c:v>176343.81435</c:v>
                </c:pt>
                <c:pt idx="91">
                  <c:v>68385.576600000015</c:v>
                </c:pt>
                <c:pt idx="92">
                  <c:v>66195.049425000005</c:v>
                </c:pt>
                <c:pt idx="93">
                  <c:v>137214.31280000001</c:v>
                </c:pt>
                <c:pt idx="94">
                  <c:v>44944.664174999998</c:v>
                </c:pt>
                <c:pt idx="95">
                  <c:v>132713.7469</c:v>
                </c:pt>
                <c:pt idx="96">
                  <c:v>90883.732499999998</c:v>
                </c:pt>
                <c:pt idx="97">
                  <c:v>44491.339199999995</c:v>
                </c:pt>
                <c:pt idx="98">
                  <c:v>53682.52175</c:v>
                </c:pt>
                <c:pt idx="99">
                  <c:v>108135.81975000001</c:v>
                </c:pt>
                <c:pt idx="100">
                  <c:v>62911.604600000006</c:v>
                </c:pt>
                <c:pt idx="101">
                  <c:v>46868.781300000002</c:v>
                </c:pt>
                <c:pt idx="102">
                  <c:v>136645.53112499998</c:v>
                </c:pt>
                <c:pt idx="103">
                  <c:v>118958.89740000002</c:v>
                </c:pt>
                <c:pt idx="104">
                  <c:v>20799.617074999998</c:v>
                </c:pt>
                <c:pt idx="105">
                  <c:v>51511.2857</c:v>
                </c:pt>
                <c:pt idx="106">
                  <c:v>74426.672699999996</c:v>
                </c:pt>
                <c:pt idx="107">
                  <c:v>165422.89225</c:v>
                </c:pt>
                <c:pt idx="108">
                  <c:v>90463.004799999995</c:v>
                </c:pt>
                <c:pt idx="109">
                  <c:v>75690.126000000004</c:v>
                </c:pt>
                <c:pt idx="110">
                  <c:v>37558.160499999998</c:v>
                </c:pt>
                <c:pt idx="111">
                  <c:v>44924.716400000005</c:v>
                </c:pt>
                <c:pt idx="112">
                  <c:v>549122.43457499996</c:v>
                </c:pt>
                <c:pt idx="113">
                  <c:v>298347.64815000002</c:v>
                </c:pt>
                <c:pt idx="114">
                  <c:v>231061.54905</c:v>
                </c:pt>
                <c:pt idx="115">
                  <c:v>429796.35599999997</c:v>
                </c:pt>
                <c:pt idx="116">
                  <c:v>1487431.6425000001</c:v>
                </c:pt>
                <c:pt idx="117">
                  <c:v>1397302.8212499998</c:v>
                </c:pt>
                <c:pt idx="118">
                  <c:v>1071432.39375</c:v>
                </c:pt>
                <c:pt idx="119">
                  <c:v>783209.01615000004</c:v>
                </c:pt>
                <c:pt idx="120">
                  <c:v>299250.20579999994</c:v>
                </c:pt>
                <c:pt idx="121">
                  <c:v>356993.88899999997</c:v>
                </c:pt>
                <c:pt idx="122">
                  <c:v>237142.71725000002</c:v>
                </c:pt>
              </c:numCache>
            </c:numRef>
          </c:val>
          <c:extLst>
            <c:ext xmlns:c16="http://schemas.microsoft.com/office/drawing/2014/chart" uri="{C3380CC4-5D6E-409C-BE32-E72D297353CC}">
              <c16:uniqueId val="{00000000-D32E-4B6C-B4DB-8E6D88C80940}"/>
            </c:ext>
          </c:extLst>
        </c:ser>
        <c:dLbls>
          <c:showLegendKey val="0"/>
          <c:showVal val="0"/>
          <c:showCatName val="0"/>
          <c:showSerName val="0"/>
          <c:showPercent val="0"/>
          <c:showBubbleSize val="0"/>
        </c:dLbls>
        <c:gapWidth val="18"/>
        <c:axId val="1425840112"/>
        <c:axId val="1425841200"/>
      </c:barChart>
      <c:lineChart>
        <c:grouping val="standard"/>
        <c:varyColors val="0"/>
        <c:ser>
          <c:idx val="0"/>
          <c:order val="0"/>
          <c:tx>
            <c:strRef>
              <c:f>'Filtered Data'!$B$2</c:f>
              <c:strCache>
                <c:ptCount val="1"/>
                <c:pt idx="0">
                  <c:v>OHLC Average</c:v>
                </c:pt>
              </c:strCache>
            </c:strRef>
          </c:tx>
          <c:spPr>
            <a:ln w="28575" cap="rnd">
              <a:solidFill>
                <a:schemeClr val="accent1"/>
              </a:solidFill>
              <a:round/>
            </a:ln>
            <a:effectLst/>
          </c:spPr>
          <c:marker>
            <c:symbol val="circle"/>
            <c:size val="6"/>
            <c:spPr>
              <a:solidFill>
                <a:sysClr val="window" lastClr="FFFFFF"/>
              </a:solidFill>
              <a:ln w="9525">
                <a:solidFill>
                  <a:schemeClr val="accent1"/>
                </a:solidFill>
              </a:ln>
              <a:effectLst/>
            </c:spPr>
          </c:marker>
          <c:cat>
            <c:numRef>
              <c:f>'Filtered Data'!$A$3:$A$125</c:f>
              <c:numCache>
                <c:formatCode>m/d/yyyy</c:formatCode>
                <c:ptCount val="123"/>
                <c:pt idx="0">
                  <c:v>44443</c:v>
                </c:pt>
                <c:pt idx="1">
                  <c:v>44446</c:v>
                </c:pt>
                <c:pt idx="2">
                  <c:v>44447</c:v>
                </c:pt>
                <c:pt idx="3">
                  <c:v>44448</c:v>
                </c:pt>
                <c:pt idx="4">
                  <c:v>44449</c:v>
                </c:pt>
                <c:pt idx="5">
                  <c:v>44450</c:v>
                </c:pt>
                <c:pt idx="6">
                  <c:v>44453</c:v>
                </c:pt>
                <c:pt idx="7">
                  <c:v>44454</c:v>
                </c:pt>
                <c:pt idx="8">
                  <c:v>44455</c:v>
                </c:pt>
                <c:pt idx="9">
                  <c:v>44456</c:v>
                </c:pt>
                <c:pt idx="10">
                  <c:v>44457</c:v>
                </c:pt>
                <c:pt idx="11">
                  <c:v>44460</c:v>
                </c:pt>
                <c:pt idx="12">
                  <c:v>44461</c:v>
                </c:pt>
                <c:pt idx="13">
                  <c:v>44462</c:v>
                </c:pt>
                <c:pt idx="14">
                  <c:v>44463</c:v>
                </c:pt>
                <c:pt idx="15">
                  <c:v>44464</c:v>
                </c:pt>
                <c:pt idx="16">
                  <c:v>44467</c:v>
                </c:pt>
                <c:pt idx="17">
                  <c:v>44468</c:v>
                </c:pt>
                <c:pt idx="18">
                  <c:v>44469</c:v>
                </c:pt>
                <c:pt idx="19">
                  <c:v>44470</c:v>
                </c:pt>
                <c:pt idx="20">
                  <c:v>44471</c:v>
                </c:pt>
                <c:pt idx="21">
                  <c:v>44474</c:v>
                </c:pt>
                <c:pt idx="22">
                  <c:v>44475</c:v>
                </c:pt>
                <c:pt idx="23">
                  <c:v>44476</c:v>
                </c:pt>
                <c:pt idx="24">
                  <c:v>44477</c:v>
                </c:pt>
                <c:pt idx="25">
                  <c:v>44478</c:v>
                </c:pt>
                <c:pt idx="26">
                  <c:v>44481</c:v>
                </c:pt>
                <c:pt idx="27">
                  <c:v>44482</c:v>
                </c:pt>
                <c:pt idx="28">
                  <c:v>44483</c:v>
                </c:pt>
                <c:pt idx="29">
                  <c:v>44484</c:v>
                </c:pt>
                <c:pt idx="30">
                  <c:v>44485</c:v>
                </c:pt>
                <c:pt idx="31">
                  <c:v>44488</c:v>
                </c:pt>
                <c:pt idx="32">
                  <c:v>44489</c:v>
                </c:pt>
                <c:pt idx="33">
                  <c:v>44490</c:v>
                </c:pt>
                <c:pt idx="34">
                  <c:v>44491</c:v>
                </c:pt>
                <c:pt idx="35">
                  <c:v>44492</c:v>
                </c:pt>
                <c:pt idx="36">
                  <c:v>44495</c:v>
                </c:pt>
                <c:pt idx="37">
                  <c:v>44496</c:v>
                </c:pt>
                <c:pt idx="38">
                  <c:v>44497</c:v>
                </c:pt>
                <c:pt idx="39">
                  <c:v>44498</c:v>
                </c:pt>
                <c:pt idx="40">
                  <c:v>44499</c:v>
                </c:pt>
                <c:pt idx="41">
                  <c:v>44502</c:v>
                </c:pt>
                <c:pt idx="42">
                  <c:v>44503</c:v>
                </c:pt>
                <c:pt idx="43">
                  <c:v>44504</c:v>
                </c:pt>
                <c:pt idx="44">
                  <c:v>44505</c:v>
                </c:pt>
                <c:pt idx="45">
                  <c:v>44506</c:v>
                </c:pt>
                <c:pt idx="46">
                  <c:v>44509</c:v>
                </c:pt>
                <c:pt idx="47">
                  <c:v>44510</c:v>
                </c:pt>
                <c:pt idx="48">
                  <c:v>44511</c:v>
                </c:pt>
                <c:pt idx="49">
                  <c:v>44512</c:v>
                </c:pt>
                <c:pt idx="50">
                  <c:v>44513</c:v>
                </c:pt>
                <c:pt idx="51">
                  <c:v>44516</c:v>
                </c:pt>
                <c:pt idx="52">
                  <c:v>44517</c:v>
                </c:pt>
                <c:pt idx="53">
                  <c:v>44518</c:v>
                </c:pt>
                <c:pt idx="54">
                  <c:v>44519</c:v>
                </c:pt>
                <c:pt idx="55">
                  <c:v>44520</c:v>
                </c:pt>
                <c:pt idx="56">
                  <c:v>44523</c:v>
                </c:pt>
                <c:pt idx="57">
                  <c:v>44524</c:v>
                </c:pt>
                <c:pt idx="58">
                  <c:v>44525</c:v>
                </c:pt>
                <c:pt idx="59">
                  <c:v>44527</c:v>
                </c:pt>
                <c:pt idx="60">
                  <c:v>44530</c:v>
                </c:pt>
                <c:pt idx="61">
                  <c:v>44531</c:v>
                </c:pt>
                <c:pt idx="62">
                  <c:v>44532</c:v>
                </c:pt>
                <c:pt idx="63">
                  <c:v>44533</c:v>
                </c:pt>
                <c:pt idx="64">
                  <c:v>44534</c:v>
                </c:pt>
                <c:pt idx="65">
                  <c:v>44537</c:v>
                </c:pt>
                <c:pt idx="66">
                  <c:v>44538</c:v>
                </c:pt>
                <c:pt idx="67">
                  <c:v>44539</c:v>
                </c:pt>
                <c:pt idx="68">
                  <c:v>44540</c:v>
                </c:pt>
                <c:pt idx="69">
                  <c:v>44541</c:v>
                </c:pt>
                <c:pt idx="70">
                  <c:v>44544</c:v>
                </c:pt>
                <c:pt idx="71">
                  <c:v>44545</c:v>
                </c:pt>
                <c:pt idx="72">
                  <c:v>44546</c:v>
                </c:pt>
                <c:pt idx="73">
                  <c:v>44547</c:v>
                </c:pt>
                <c:pt idx="74">
                  <c:v>44548</c:v>
                </c:pt>
                <c:pt idx="75">
                  <c:v>44551</c:v>
                </c:pt>
                <c:pt idx="76">
                  <c:v>44552</c:v>
                </c:pt>
                <c:pt idx="77">
                  <c:v>44553</c:v>
                </c:pt>
                <c:pt idx="78">
                  <c:v>44555</c:v>
                </c:pt>
                <c:pt idx="79">
                  <c:v>44558</c:v>
                </c:pt>
                <c:pt idx="80">
                  <c:v>44559</c:v>
                </c:pt>
                <c:pt idx="81">
                  <c:v>44560</c:v>
                </c:pt>
                <c:pt idx="82">
                  <c:v>44562</c:v>
                </c:pt>
                <c:pt idx="83">
                  <c:v>44565</c:v>
                </c:pt>
                <c:pt idx="84">
                  <c:v>44566</c:v>
                </c:pt>
                <c:pt idx="85">
                  <c:v>44567</c:v>
                </c:pt>
                <c:pt idx="86">
                  <c:v>44568</c:v>
                </c:pt>
                <c:pt idx="87">
                  <c:v>44569</c:v>
                </c:pt>
                <c:pt idx="88">
                  <c:v>44572</c:v>
                </c:pt>
                <c:pt idx="89">
                  <c:v>44573</c:v>
                </c:pt>
                <c:pt idx="90">
                  <c:v>44574</c:v>
                </c:pt>
                <c:pt idx="91">
                  <c:v>44575</c:v>
                </c:pt>
                <c:pt idx="92">
                  <c:v>44576</c:v>
                </c:pt>
                <c:pt idx="93">
                  <c:v>44580</c:v>
                </c:pt>
                <c:pt idx="94">
                  <c:v>44581</c:v>
                </c:pt>
                <c:pt idx="95">
                  <c:v>44582</c:v>
                </c:pt>
                <c:pt idx="96">
                  <c:v>44583</c:v>
                </c:pt>
                <c:pt idx="97">
                  <c:v>44586</c:v>
                </c:pt>
                <c:pt idx="98">
                  <c:v>44587</c:v>
                </c:pt>
                <c:pt idx="99">
                  <c:v>44588</c:v>
                </c:pt>
                <c:pt idx="100">
                  <c:v>44589</c:v>
                </c:pt>
                <c:pt idx="101">
                  <c:v>44590</c:v>
                </c:pt>
                <c:pt idx="102">
                  <c:v>44593</c:v>
                </c:pt>
                <c:pt idx="103">
                  <c:v>44594</c:v>
                </c:pt>
                <c:pt idx="104">
                  <c:v>44595</c:v>
                </c:pt>
                <c:pt idx="105">
                  <c:v>44596</c:v>
                </c:pt>
                <c:pt idx="106">
                  <c:v>44597</c:v>
                </c:pt>
                <c:pt idx="107">
                  <c:v>44600</c:v>
                </c:pt>
                <c:pt idx="108">
                  <c:v>44601</c:v>
                </c:pt>
                <c:pt idx="109">
                  <c:v>44602</c:v>
                </c:pt>
                <c:pt idx="110">
                  <c:v>44603</c:v>
                </c:pt>
                <c:pt idx="111">
                  <c:v>44604</c:v>
                </c:pt>
                <c:pt idx="112">
                  <c:v>44608</c:v>
                </c:pt>
                <c:pt idx="113">
                  <c:v>44609</c:v>
                </c:pt>
                <c:pt idx="114">
                  <c:v>44610</c:v>
                </c:pt>
                <c:pt idx="115">
                  <c:v>44611</c:v>
                </c:pt>
                <c:pt idx="116">
                  <c:v>44614</c:v>
                </c:pt>
                <c:pt idx="117">
                  <c:v>44615</c:v>
                </c:pt>
                <c:pt idx="118">
                  <c:v>44616</c:v>
                </c:pt>
                <c:pt idx="119">
                  <c:v>44617</c:v>
                </c:pt>
                <c:pt idx="120">
                  <c:v>44618</c:v>
                </c:pt>
                <c:pt idx="121">
                  <c:v>44621</c:v>
                </c:pt>
                <c:pt idx="122">
                  <c:v>44622</c:v>
                </c:pt>
              </c:numCache>
            </c:numRef>
          </c:cat>
          <c:val>
            <c:numRef>
              <c:f>'Filtered Data'!$B$3:$B$125</c:f>
              <c:numCache>
                <c:formatCode>_("$"* #,##0.00_);_("$"* \(#,##0.00\);_("$"* "-"??_);_(@_)</c:formatCode>
                <c:ptCount val="123"/>
                <c:pt idx="0">
                  <c:v>8.1949999999999995E-2</c:v>
                </c:pt>
                <c:pt idx="1">
                  <c:v>8.2900000000000001E-2</c:v>
                </c:pt>
                <c:pt idx="2">
                  <c:v>8.1625000000000003E-2</c:v>
                </c:pt>
                <c:pt idx="3">
                  <c:v>8.2125000000000004E-2</c:v>
                </c:pt>
                <c:pt idx="4">
                  <c:v>8.2225000000000006E-2</c:v>
                </c:pt>
                <c:pt idx="5">
                  <c:v>8.307500000000001E-2</c:v>
                </c:pt>
                <c:pt idx="6">
                  <c:v>8.3674999999999999E-2</c:v>
                </c:pt>
                <c:pt idx="7">
                  <c:v>8.3174999999999999E-2</c:v>
                </c:pt>
                <c:pt idx="8">
                  <c:v>8.3400000000000002E-2</c:v>
                </c:pt>
                <c:pt idx="9">
                  <c:v>8.2699999999999996E-2</c:v>
                </c:pt>
                <c:pt idx="10">
                  <c:v>8.4875000000000006E-2</c:v>
                </c:pt>
                <c:pt idx="11">
                  <c:v>8.7499999999999994E-2</c:v>
                </c:pt>
                <c:pt idx="12">
                  <c:v>9.0024999999999994E-2</c:v>
                </c:pt>
                <c:pt idx="13">
                  <c:v>9.7474999999999992E-2</c:v>
                </c:pt>
                <c:pt idx="14">
                  <c:v>0.1123</c:v>
                </c:pt>
                <c:pt idx="15">
                  <c:v>0.106125</c:v>
                </c:pt>
                <c:pt idx="16">
                  <c:v>9.5849999999999991E-2</c:v>
                </c:pt>
                <c:pt idx="17">
                  <c:v>9.0299999999999991E-2</c:v>
                </c:pt>
                <c:pt idx="18">
                  <c:v>8.6974999999999997E-2</c:v>
                </c:pt>
                <c:pt idx="19">
                  <c:v>9.1600000000000001E-2</c:v>
                </c:pt>
                <c:pt idx="20">
                  <c:v>8.9499999999999996E-2</c:v>
                </c:pt>
                <c:pt idx="21">
                  <c:v>9.4075000000000006E-2</c:v>
                </c:pt>
                <c:pt idx="22">
                  <c:v>9.6975000000000006E-2</c:v>
                </c:pt>
                <c:pt idx="23">
                  <c:v>9.5000000000000001E-2</c:v>
                </c:pt>
                <c:pt idx="24">
                  <c:v>9.5325000000000007E-2</c:v>
                </c:pt>
                <c:pt idx="25">
                  <c:v>9.4400000000000012E-2</c:v>
                </c:pt>
                <c:pt idx="26">
                  <c:v>9.1175000000000006E-2</c:v>
                </c:pt>
                <c:pt idx="27">
                  <c:v>9.2124999999999999E-2</c:v>
                </c:pt>
                <c:pt idx="28">
                  <c:v>8.9774999999999994E-2</c:v>
                </c:pt>
                <c:pt idx="29">
                  <c:v>8.9950000000000002E-2</c:v>
                </c:pt>
                <c:pt idx="30">
                  <c:v>9.1524999999999995E-2</c:v>
                </c:pt>
                <c:pt idx="31">
                  <c:v>9.1374999999999998E-2</c:v>
                </c:pt>
                <c:pt idx="32">
                  <c:v>8.9599999999999985E-2</c:v>
                </c:pt>
                <c:pt idx="33">
                  <c:v>8.9874999999999997E-2</c:v>
                </c:pt>
                <c:pt idx="34">
                  <c:v>9.2674999999999993E-2</c:v>
                </c:pt>
                <c:pt idx="35">
                  <c:v>8.9799999999999991E-2</c:v>
                </c:pt>
                <c:pt idx="36">
                  <c:v>8.9499999999999996E-2</c:v>
                </c:pt>
                <c:pt idx="37">
                  <c:v>8.8775000000000007E-2</c:v>
                </c:pt>
                <c:pt idx="38">
                  <c:v>8.7249999999999994E-2</c:v>
                </c:pt>
                <c:pt idx="39">
                  <c:v>8.842499999999999E-2</c:v>
                </c:pt>
                <c:pt idx="40">
                  <c:v>8.8224999999999998E-2</c:v>
                </c:pt>
                <c:pt idx="41">
                  <c:v>8.8300000000000003E-2</c:v>
                </c:pt>
                <c:pt idx="42">
                  <c:v>8.6300000000000002E-2</c:v>
                </c:pt>
                <c:pt idx="43">
                  <c:v>8.6749999999999994E-2</c:v>
                </c:pt>
                <c:pt idx="44">
                  <c:v>8.7800000000000003E-2</c:v>
                </c:pt>
                <c:pt idx="45">
                  <c:v>9.0474999999999986E-2</c:v>
                </c:pt>
                <c:pt idx="46">
                  <c:v>9.0975E-2</c:v>
                </c:pt>
                <c:pt idx="47">
                  <c:v>8.5074999999999998E-2</c:v>
                </c:pt>
                <c:pt idx="48">
                  <c:v>8.7849999999999998E-2</c:v>
                </c:pt>
                <c:pt idx="49">
                  <c:v>8.6474999999999996E-2</c:v>
                </c:pt>
                <c:pt idx="50">
                  <c:v>8.5024999999999989E-2</c:v>
                </c:pt>
                <c:pt idx="51">
                  <c:v>8.9575000000000002E-2</c:v>
                </c:pt>
                <c:pt idx="52">
                  <c:v>8.912500000000001E-2</c:v>
                </c:pt>
                <c:pt idx="53">
                  <c:v>8.6425000000000002E-2</c:v>
                </c:pt>
                <c:pt idx="54">
                  <c:v>8.6724999999999997E-2</c:v>
                </c:pt>
                <c:pt idx="55">
                  <c:v>8.4400000000000017E-2</c:v>
                </c:pt>
                <c:pt idx="56">
                  <c:v>8.3850000000000008E-2</c:v>
                </c:pt>
                <c:pt idx="57">
                  <c:v>8.5900000000000004E-2</c:v>
                </c:pt>
                <c:pt idx="58">
                  <c:v>8.7900000000000006E-2</c:v>
                </c:pt>
                <c:pt idx="59">
                  <c:v>8.8024999999999992E-2</c:v>
                </c:pt>
                <c:pt idx="60">
                  <c:v>8.7625000000000008E-2</c:v>
                </c:pt>
                <c:pt idx="61">
                  <c:v>8.7000000000000008E-2</c:v>
                </c:pt>
                <c:pt idx="62">
                  <c:v>8.5275000000000004E-2</c:v>
                </c:pt>
                <c:pt idx="63">
                  <c:v>8.4199999999999997E-2</c:v>
                </c:pt>
                <c:pt idx="64">
                  <c:v>8.4199999999999997E-2</c:v>
                </c:pt>
                <c:pt idx="65">
                  <c:v>8.4550000000000014E-2</c:v>
                </c:pt>
                <c:pt idx="66">
                  <c:v>8.5425000000000001E-2</c:v>
                </c:pt>
                <c:pt idx="67">
                  <c:v>8.7749999999999995E-2</c:v>
                </c:pt>
                <c:pt idx="68">
                  <c:v>8.7150000000000005E-2</c:v>
                </c:pt>
                <c:pt idx="69">
                  <c:v>8.622500000000001E-2</c:v>
                </c:pt>
                <c:pt idx="70">
                  <c:v>8.635000000000001E-2</c:v>
                </c:pt>
                <c:pt idx="71">
                  <c:v>8.6650000000000005E-2</c:v>
                </c:pt>
                <c:pt idx="72">
                  <c:v>8.357500000000001E-2</c:v>
                </c:pt>
                <c:pt idx="73">
                  <c:v>8.3150000000000002E-2</c:v>
                </c:pt>
                <c:pt idx="74">
                  <c:v>8.4500000000000006E-2</c:v>
                </c:pt>
                <c:pt idx="75">
                  <c:v>8.3125000000000004E-2</c:v>
                </c:pt>
                <c:pt idx="76">
                  <c:v>8.3525000000000002E-2</c:v>
                </c:pt>
                <c:pt idx="77">
                  <c:v>8.4150000000000003E-2</c:v>
                </c:pt>
                <c:pt idx="78">
                  <c:v>8.4000000000000005E-2</c:v>
                </c:pt>
                <c:pt idx="79">
                  <c:v>8.3775000000000002E-2</c:v>
                </c:pt>
                <c:pt idx="80">
                  <c:v>8.3700000000000011E-2</c:v>
                </c:pt>
                <c:pt idx="81">
                  <c:v>8.3500000000000005E-2</c:v>
                </c:pt>
                <c:pt idx="82">
                  <c:v>8.4324999999999997E-2</c:v>
                </c:pt>
                <c:pt idx="83">
                  <c:v>8.4250000000000005E-2</c:v>
                </c:pt>
                <c:pt idx="84">
                  <c:v>8.4474999999999995E-2</c:v>
                </c:pt>
                <c:pt idx="85">
                  <c:v>8.5350000000000009E-2</c:v>
                </c:pt>
                <c:pt idx="86">
                  <c:v>8.282500000000001E-2</c:v>
                </c:pt>
                <c:pt idx="87">
                  <c:v>8.2500000000000004E-2</c:v>
                </c:pt>
                <c:pt idx="88">
                  <c:v>8.115E-2</c:v>
                </c:pt>
                <c:pt idx="89">
                  <c:v>8.3900000000000002E-2</c:v>
                </c:pt>
                <c:pt idx="90">
                  <c:v>8.4150000000000003E-2</c:v>
                </c:pt>
                <c:pt idx="91">
                  <c:v>8.3800000000000013E-2</c:v>
                </c:pt>
                <c:pt idx="92">
                  <c:v>8.4725000000000009E-2</c:v>
                </c:pt>
                <c:pt idx="93">
                  <c:v>8.4400000000000003E-2</c:v>
                </c:pt>
                <c:pt idx="94">
                  <c:v>8.2574999999999996E-2</c:v>
                </c:pt>
                <c:pt idx="95">
                  <c:v>8.2100000000000006E-2</c:v>
                </c:pt>
                <c:pt idx="96">
                  <c:v>8.2500000000000004E-2</c:v>
                </c:pt>
                <c:pt idx="97">
                  <c:v>8.2449999999999996E-2</c:v>
                </c:pt>
                <c:pt idx="98">
                  <c:v>8.1125000000000003E-2</c:v>
                </c:pt>
                <c:pt idx="99">
                  <c:v>8.1375000000000003E-2</c:v>
                </c:pt>
                <c:pt idx="100">
                  <c:v>8.0600000000000005E-2</c:v>
                </c:pt>
                <c:pt idx="101">
                  <c:v>8.030000000000001E-2</c:v>
                </c:pt>
                <c:pt idx="102">
                  <c:v>8.3274999999999988E-2</c:v>
                </c:pt>
                <c:pt idx="103">
                  <c:v>7.980000000000001E-2</c:v>
                </c:pt>
                <c:pt idx="104">
                  <c:v>7.9024999999999998E-2</c:v>
                </c:pt>
                <c:pt idx="105">
                  <c:v>7.8850000000000003E-2</c:v>
                </c:pt>
                <c:pt idx="106">
                  <c:v>7.7899999999999997E-2</c:v>
                </c:pt>
                <c:pt idx="107">
                  <c:v>8.0575000000000008E-2</c:v>
                </c:pt>
                <c:pt idx="108">
                  <c:v>8.2400000000000001E-2</c:v>
                </c:pt>
                <c:pt idx="109">
                  <c:v>8.1000000000000003E-2</c:v>
                </c:pt>
                <c:pt idx="110">
                  <c:v>8.0500000000000002E-2</c:v>
                </c:pt>
                <c:pt idx="111">
                  <c:v>8.0225000000000005E-2</c:v>
                </c:pt>
                <c:pt idx="112">
                  <c:v>8.6074999999999999E-2</c:v>
                </c:pt>
                <c:pt idx="113">
                  <c:v>8.9724999999999999E-2</c:v>
                </c:pt>
                <c:pt idx="114">
                  <c:v>9.2475000000000002E-2</c:v>
                </c:pt>
                <c:pt idx="115">
                  <c:v>0.10379999999999999</c:v>
                </c:pt>
                <c:pt idx="116">
                  <c:v>0.12225</c:v>
                </c:pt>
                <c:pt idx="117">
                  <c:v>0.13527499999999998</c:v>
                </c:pt>
                <c:pt idx="118">
                  <c:v>0.13905000000000001</c:v>
                </c:pt>
                <c:pt idx="119">
                  <c:v>0.14465</c:v>
                </c:pt>
                <c:pt idx="120">
                  <c:v>0.14429999999999998</c:v>
                </c:pt>
                <c:pt idx="121">
                  <c:v>0.14069999999999999</c:v>
                </c:pt>
                <c:pt idx="122">
                  <c:v>0.13242500000000001</c:v>
                </c:pt>
              </c:numCache>
            </c:numRef>
          </c:val>
          <c:smooth val="1"/>
          <c:extLst>
            <c:ext xmlns:c16="http://schemas.microsoft.com/office/drawing/2014/chart" uri="{C3380CC4-5D6E-409C-BE32-E72D297353CC}">
              <c16:uniqueId val="{00000001-D32E-4B6C-B4DB-8E6D88C80940}"/>
            </c:ext>
          </c:extLst>
        </c:ser>
        <c:dLbls>
          <c:showLegendKey val="0"/>
          <c:showVal val="0"/>
          <c:showCatName val="0"/>
          <c:showSerName val="0"/>
          <c:showPercent val="0"/>
          <c:showBubbleSize val="0"/>
        </c:dLbls>
        <c:marker val="1"/>
        <c:smooth val="0"/>
        <c:axId val="1425855888"/>
        <c:axId val="1425830864"/>
      </c:lineChart>
      <c:catAx>
        <c:axId val="1425840112"/>
        <c:scaling>
          <c:orientation val="minMax"/>
        </c:scaling>
        <c:delete val="0"/>
        <c:axPos val="b"/>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2580000" spcFirstLastPara="1" vertOverflow="ellipsis"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425841200"/>
        <c:crosses val="autoZero"/>
        <c:auto val="0"/>
        <c:lblAlgn val="ctr"/>
        <c:lblOffset val="100"/>
        <c:noMultiLvlLbl val="0"/>
      </c:catAx>
      <c:valAx>
        <c:axId val="14258412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25840112"/>
        <c:crosses val="autoZero"/>
        <c:crossBetween val="between"/>
        <c:dispUnits>
          <c:builtInUnit val="thousands"/>
        </c:dispUnits>
      </c:valAx>
      <c:valAx>
        <c:axId val="1425830864"/>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25855888"/>
        <c:crosses val="max"/>
        <c:crossBetween val="between"/>
      </c:valAx>
      <c:catAx>
        <c:axId val="1425855888"/>
        <c:scaling>
          <c:orientation val="minMax"/>
        </c:scaling>
        <c:delete val="1"/>
        <c:axPos val="b"/>
        <c:numFmt formatCode="m/d/yyyy" sourceLinked="1"/>
        <c:majorTickMark val="out"/>
        <c:minorTickMark val="none"/>
        <c:tickLblPos val="nextTo"/>
        <c:crossAx val="1425830864"/>
        <c:crosses val="autoZero"/>
        <c:auto val="0"/>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30 Day History</a:t>
            </a: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
        <c:idx val="4"/>
        <c:spPr>
          <a:solidFill>
            <a:schemeClr val="accent1"/>
          </a:solidFill>
          <a:ln>
            <a:noFill/>
          </a:ln>
          <a:effectLst/>
        </c:spPr>
        <c:marker>
          <c:symbol val="none"/>
        </c:marker>
      </c:pivotFmt>
      <c:pivotFmt>
        <c:idx val="5"/>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
        <c:idx val="6"/>
        <c:spPr>
          <a:solidFill>
            <a:schemeClr val="accent1"/>
          </a:solidFill>
          <a:ln>
            <a:noFill/>
          </a:ln>
          <a:effectLst/>
        </c:spPr>
        <c:marker>
          <c:symbol val="none"/>
        </c:marker>
      </c:pivotFmt>
      <c:pivotFmt>
        <c:idx val="7"/>
        <c:spPr>
          <a:solidFill>
            <a:schemeClr val="accent1"/>
          </a:solidFill>
          <a:ln w="28575" cap="rnd">
            <a:solidFill>
              <a:schemeClr val="accent1"/>
            </a:solidFill>
            <a:round/>
          </a:ln>
          <a:effectLst/>
        </c:spPr>
        <c:marker>
          <c:symbol val="circle"/>
          <c:size val="6"/>
          <c:spPr>
            <a:solidFill>
              <a:sysClr val="window" lastClr="FFFFFF"/>
            </a:solidFill>
            <a:ln w="9525">
              <a:solidFill>
                <a:schemeClr val="accent1"/>
              </a:solidFill>
            </a:ln>
            <a:effectLst/>
          </c:spPr>
        </c:marker>
      </c:pivotFmt>
    </c:pivotFmts>
    <c:plotArea>
      <c:layout>
        <c:manualLayout>
          <c:layoutTarget val="inner"/>
          <c:xMode val="edge"/>
          <c:yMode val="edge"/>
          <c:x val="4.7173917352722437E-2"/>
          <c:y val="0.27943217425421585"/>
          <c:w val="0.91401582127117431"/>
          <c:h val="0.63670850351084018"/>
        </c:manualLayout>
      </c:layout>
      <c:barChart>
        <c:barDir val="col"/>
        <c:grouping val="clustered"/>
        <c:varyColors val="0"/>
        <c:ser>
          <c:idx val="1"/>
          <c:order val="1"/>
          <c:tx>
            <c:strRef>
              <c:f>'Filtered Data'!$G$2</c:f>
              <c:strCache>
                <c:ptCount val="1"/>
                <c:pt idx="0">
                  <c:v>Value Traded</c:v>
                </c:pt>
              </c:strCache>
            </c:strRef>
          </c:tx>
          <c:spPr>
            <a:solidFill>
              <a:schemeClr val="accent2"/>
            </a:solidFill>
            <a:ln>
              <a:noFill/>
            </a:ln>
            <a:effectLst/>
          </c:spPr>
          <c:invertIfNegative val="0"/>
          <c:cat>
            <c:numRef>
              <c:f>'Filtered Data'!$E$3:$E$24</c:f>
              <c:numCache>
                <c:formatCode>m/d/yyyy</c:formatCode>
                <c:ptCount val="22"/>
                <c:pt idx="0">
                  <c:v>44590</c:v>
                </c:pt>
                <c:pt idx="1">
                  <c:v>44593</c:v>
                </c:pt>
                <c:pt idx="2">
                  <c:v>44594</c:v>
                </c:pt>
                <c:pt idx="3">
                  <c:v>44595</c:v>
                </c:pt>
                <c:pt idx="4">
                  <c:v>44596</c:v>
                </c:pt>
                <c:pt idx="5">
                  <c:v>44597</c:v>
                </c:pt>
                <c:pt idx="6">
                  <c:v>44600</c:v>
                </c:pt>
                <c:pt idx="7">
                  <c:v>44601</c:v>
                </c:pt>
                <c:pt idx="8">
                  <c:v>44602</c:v>
                </c:pt>
                <c:pt idx="9">
                  <c:v>44603</c:v>
                </c:pt>
                <c:pt idx="10">
                  <c:v>44604</c:v>
                </c:pt>
                <c:pt idx="11">
                  <c:v>44608</c:v>
                </c:pt>
                <c:pt idx="12">
                  <c:v>44609</c:v>
                </c:pt>
                <c:pt idx="13">
                  <c:v>44610</c:v>
                </c:pt>
                <c:pt idx="14">
                  <c:v>44611</c:v>
                </c:pt>
                <c:pt idx="15">
                  <c:v>44614</c:v>
                </c:pt>
                <c:pt idx="16">
                  <c:v>44615</c:v>
                </c:pt>
                <c:pt idx="17">
                  <c:v>44616</c:v>
                </c:pt>
                <c:pt idx="18">
                  <c:v>44617</c:v>
                </c:pt>
                <c:pt idx="19">
                  <c:v>44618</c:v>
                </c:pt>
                <c:pt idx="20">
                  <c:v>44621</c:v>
                </c:pt>
                <c:pt idx="21">
                  <c:v>44622</c:v>
                </c:pt>
              </c:numCache>
            </c:numRef>
          </c:cat>
          <c:val>
            <c:numRef>
              <c:f>'Filtered Data'!$G$3:$G$24</c:f>
              <c:numCache>
                <c:formatCode>_("$"* #,##0.00_);_("$"* \(#,##0.00\);_("$"* "-"??_);_(@_)</c:formatCode>
                <c:ptCount val="22"/>
                <c:pt idx="0">
                  <c:v>46868.781300000002</c:v>
                </c:pt>
                <c:pt idx="1">
                  <c:v>136645.53112499998</c:v>
                </c:pt>
                <c:pt idx="2">
                  <c:v>118958.89740000002</c:v>
                </c:pt>
                <c:pt idx="3">
                  <c:v>20799.617074999998</c:v>
                </c:pt>
                <c:pt idx="4">
                  <c:v>51511.2857</c:v>
                </c:pt>
                <c:pt idx="5">
                  <c:v>74426.672699999996</c:v>
                </c:pt>
                <c:pt idx="6">
                  <c:v>165422.89225</c:v>
                </c:pt>
                <c:pt idx="7">
                  <c:v>90463.004799999995</c:v>
                </c:pt>
                <c:pt idx="8">
                  <c:v>75690.126000000004</c:v>
                </c:pt>
                <c:pt idx="9">
                  <c:v>37558.160499999998</c:v>
                </c:pt>
                <c:pt idx="10">
                  <c:v>44924.716400000005</c:v>
                </c:pt>
                <c:pt idx="11">
                  <c:v>549122.43457499996</c:v>
                </c:pt>
                <c:pt idx="12">
                  <c:v>298347.64815000002</c:v>
                </c:pt>
                <c:pt idx="13">
                  <c:v>231061.54905</c:v>
                </c:pt>
                <c:pt idx="14">
                  <c:v>429796.35599999997</c:v>
                </c:pt>
                <c:pt idx="15">
                  <c:v>1487431.6425000001</c:v>
                </c:pt>
                <c:pt idx="16">
                  <c:v>1397302.8212499998</c:v>
                </c:pt>
                <c:pt idx="17">
                  <c:v>1071432.39375</c:v>
                </c:pt>
                <c:pt idx="18">
                  <c:v>783209.01615000004</c:v>
                </c:pt>
                <c:pt idx="19">
                  <c:v>299250.20579999994</c:v>
                </c:pt>
                <c:pt idx="20">
                  <c:v>356993.88899999997</c:v>
                </c:pt>
                <c:pt idx="21">
                  <c:v>237142.71725000002</c:v>
                </c:pt>
              </c:numCache>
            </c:numRef>
          </c:val>
          <c:extLst>
            <c:ext xmlns:c16="http://schemas.microsoft.com/office/drawing/2014/chart" uri="{C3380CC4-5D6E-409C-BE32-E72D297353CC}">
              <c16:uniqueId val="{00000000-5B4B-40A8-ADFD-C377C728503D}"/>
            </c:ext>
          </c:extLst>
        </c:ser>
        <c:dLbls>
          <c:showLegendKey val="0"/>
          <c:showVal val="0"/>
          <c:showCatName val="0"/>
          <c:showSerName val="0"/>
          <c:showPercent val="0"/>
          <c:showBubbleSize val="0"/>
        </c:dLbls>
        <c:gapWidth val="18"/>
        <c:axId val="1425833040"/>
        <c:axId val="1425835760"/>
      </c:barChart>
      <c:lineChart>
        <c:grouping val="standard"/>
        <c:varyColors val="0"/>
        <c:ser>
          <c:idx val="0"/>
          <c:order val="0"/>
          <c:tx>
            <c:strRef>
              <c:f>'Filtered Data'!$F$2</c:f>
              <c:strCache>
                <c:ptCount val="1"/>
                <c:pt idx="0">
                  <c:v>OHLC Average</c:v>
                </c:pt>
              </c:strCache>
            </c:strRef>
          </c:tx>
          <c:spPr>
            <a:ln w="28575" cap="rnd">
              <a:solidFill>
                <a:schemeClr val="accent1"/>
              </a:solidFill>
              <a:round/>
            </a:ln>
            <a:effectLst/>
          </c:spPr>
          <c:marker>
            <c:symbol val="circle"/>
            <c:size val="5"/>
            <c:spPr>
              <a:solidFill>
                <a:sysClr val="window" lastClr="FFFFFF"/>
              </a:solidFill>
              <a:ln w="9525">
                <a:solidFill>
                  <a:schemeClr val="accent1"/>
                </a:solidFill>
              </a:ln>
              <a:effectLst/>
            </c:spPr>
          </c:marker>
          <c:cat>
            <c:numRef>
              <c:f>'Filtered Data'!$E$3:$E$24</c:f>
              <c:numCache>
                <c:formatCode>m/d/yyyy</c:formatCode>
                <c:ptCount val="22"/>
                <c:pt idx="0">
                  <c:v>44590</c:v>
                </c:pt>
                <c:pt idx="1">
                  <c:v>44593</c:v>
                </c:pt>
                <c:pt idx="2">
                  <c:v>44594</c:v>
                </c:pt>
                <c:pt idx="3">
                  <c:v>44595</c:v>
                </c:pt>
                <c:pt idx="4">
                  <c:v>44596</c:v>
                </c:pt>
                <c:pt idx="5">
                  <c:v>44597</c:v>
                </c:pt>
                <c:pt idx="6">
                  <c:v>44600</c:v>
                </c:pt>
                <c:pt idx="7">
                  <c:v>44601</c:v>
                </c:pt>
                <c:pt idx="8">
                  <c:v>44602</c:v>
                </c:pt>
                <c:pt idx="9">
                  <c:v>44603</c:v>
                </c:pt>
                <c:pt idx="10">
                  <c:v>44604</c:v>
                </c:pt>
                <c:pt idx="11">
                  <c:v>44608</c:v>
                </c:pt>
                <c:pt idx="12">
                  <c:v>44609</c:v>
                </c:pt>
                <c:pt idx="13">
                  <c:v>44610</c:v>
                </c:pt>
                <c:pt idx="14">
                  <c:v>44611</c:v>
                </c:pt>
                <c:pt idx="15">
                  <c:v>44614</c:v>
                </c:pt>
                <c:pt idx="16">
                  <c:v>44615</c:v>
                </c:pt>
                <c:pt idx="17">
                  <c:v>44616</c:v>
                </c:pt>
                <c:pt idx="18">
                  <c:v>44617</c:v>
                </c:pt>
                <c:pt idx="19">
                  <c:v>44618</c:v>
                </c:pt>
                <c:pt idx="20">
                  <c:v>44621</c:v>
                </c:pt>
                <c:pt idx="21">
                  <c:v>44622</c:v>
                </c:pt>
              </c:numCache>
            </c:numRef>
          </c:cat>
          <c:val>
            <c:numRef>
              <c:f>'Filtered Data'!$F$3:$F$24</c:f>
              <c:numCache>
                <c:formatCode>_("$"* #,##0.00_);_("$"* \(#,##0.00\);_("$"* "-"??_);_(@_)</c:formatCode>
                <c:ptCount val="22"/>
                <c:pt idx="0">
                  <c:v>8.030000000000001E-2</c:v>
                </c:pt>
                <c:pt idx="1">
                  <c:v>8.3274999999999988E-2</c:v>
                </c:pt>
                <c:pt idx="2">
                  <c:v>7.980000000000001E-2</c:v>
                </c:pt>
                <c:pt idx="3">
                  <c:v>7.9024999999999998E-2</c:v>
                </c:pt>
                <c:pt idx="4">
                  <c:v>7.8850000000000003E-2</c:v>
                </c:pt>
                <c:pt idx="5">
                  <c:v>7.7899999999999997E-2</c:v>
                </c:pt>
                <c:pt idx="6">
                  <c:v>8.0575000000000008E-2</c:v>
                </c:pt>
                <c:pt idx="7">
                  <c:v>8.2400000000000001E-2</c:v>
                </c:pt>
                <c:pt idx="8">
                  <c:v>8.1000000000000003E-2</c:v>
                </c:pt>
                <c:pt idx="9">
                  <c:v>8.0500000000000002E-2</c:v>
                </c:pt>
                <c:pt idx="10">
                  <c:v>8.0225000000000005E-2</c:v>
                </c:pt>
                <c:pt idx="11">
                  <c:v>8.6074999999999999E-2</c:v>
                </c:pt>
                <c:pt idx="12">
                  <c:v>8.9724999999999999E-2</c:v>
                </c:pt>
                <c:pt idx="13">
                  <c:v>9.2475000000000002E-2</c:v>
                </c:pt>
                <c:pt idx="14">
                  <c:v>0.10379999999999999</c:v>
                </c:pt>
                <c:pt idx="15">
                  <c:v>0.12225</c:v>
                </c:pt>
                <c:pt idx="16">
                  <c:v>0.13527499999999998</c:v>
                </c:pt>
                <c:pt idx="17">
                  <c:v>0.13905000000000001</c:v>
                </c:pt>
                <c:pt idx="18">
                  <c:v>0.14465</c:v>
                </c:pt>
                <c:pt idx="19">
                  <c:v>0.14429999999999998</c:v>
                </c:pt>
                <c:pt idx="20">
                  <c:v>0.14069999999999999</c:v>
                </c:pt>
                <c:pt idx="21">
                  <c:v>0.13242500000000001</c:v>
                </c:pt>
              </c:numCache>
            </c:numRef>
          </c:val>
          <c:smooth val="1"/>
          <c:extLst>
            <c:ext xmlns:c16="http://schemas.microsoft.com/office/drawing/2014/chart" uri="{C3380CC4-5D6E-409C-BE32-E72D297353CC}">
              <c16:uniqueId val="{00000001-5B4B-40A8-ADFD-C377C728503D}"/>
            </c:ext>
          </c:extLst>
        </c:ser>
        <c:dLbls>
          <c:showLegendKey val="0"/>
          <c:showVal val="0"/>
          <c:showCatName val="0"/>
          <c:showSerName val="0"/>
          <c:showPercent val="0"/>
          <c:showBubbleSize val="0"/>
        </c:dLbls>
        <c:marker val="1"/>
        <c:smooth val="0"/>
        <c:axId val="1425846640"/>
        <c:axId val="1425851536"/>
      </c:lineChart>
      <c:catAx>
        <c:axId val="1425833040"/>
        <c:scaling>
          <c:orientation val="minMax"/>
        </c:scaling>
        <c:delete val="0"/>
        <c:axPos val="b"/>
        <c:numFmt formatCode="m/d;@"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1425835760"/>
        <c:crosses val="autoZero"/>
        <c:auto val="0"/>
        <c:lblAlgn val="ctr"/>
        <c:lblOffset val="100"/>
        <c:noMultiLvlLbl val="0"/>
      </c:catAx>
      <c:valAx>
        <c:axId val="14258357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25833040"/>
        <c:crosses val="autoZero"/>
        <c:crossBetween val="between"/>
        <c:dispUnits>
          <c:builtInUnit val="thousands"/>
        </c:dispUnits>
      </c:valAx>
      <c:valAx>
        <c:axId val="1425851536"/>
        <c:scaling>
          <c:orientation val="minMax"/>
        </c:scaling>
        <c:delete val="0"/>
        <c:axPos val="r"/>
        <c:numFmt formatCode="&quot;$&quot;#,##0.00" sourceLinked="0"/>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25846640"/>
        <c:crosses val="max"/>
        <c:crossBetween val="between"/>
      </c:valAx>
      <c:catAx>
        <c:axId val="1425846640"/>
        <c:scaling>
          <c:orientation val="minMax"/>
        </c:scaling>
        <c:delete val="1"/>
        <c:axPos val="b"/>
        <c:numFmt formatCode="m/d/yyyy" sourceLinked="1"/>
        <c:majorTickMark val="out"/>
        <c:minorTickMark val="none"/>
        <c:tickLblPos val="nextTo"/>
        <c:crossAx val="1425851536"/>
        <c:crosses val="autoZero"/>
        <c:auto val="0"/>
        <c:lblAlgn val="ctr"/>
        <c:lblOffset val="100"/>
        <c:noMultiLvlLbl val="1"/>
      </c:cat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720</xdr:colOff>
      <xdr:row>0</xdr:row>
      <xdr:rowOff>196272</xdr:rowOff>
    </xdr:from>
    <xdr:to>
      <xdr:col>16</xdr:col>
      <xdr:colOff>11545</xdr:colOff>
      <xdr:row>45</xdr:row>
      <xdr:rowOff>11545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582629" y="196272"/>
          <a:ext cx="5379461" cy="86013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u="sng"/>
            <a:t>Company Needs</a:t>
          </a:r>
          <a:r>
            <a:rPr lang="en-US" sz="1100"/>
            <a:t>:</a:t>
          </a:r>
        </a:p>
        <a:p>
          <a:pPr algn="l"/>
          <a:r>
            <a:rPr lang="en-US" sz="1100"/>
            <a:t>The companies</a:t>
          </a:r>
          <a:r>
            <a:rPr lang="en-US" sz="1100" baseline="0"/>
            <a:t> cash resoruces are insufficient to meet the planned business goals that includes expansion of manufacturing and R&amp;D capabilities. </a:t>
          </a:r>
          <a:endParaRPr lang="en-US" sz="1100"/>
        </a:p>
        <a:p>
          <a:pPr algn="l"/>
          <a:endParaRPr lang="en-US" sz="1100"/>
        </a:p>
        <a:p>
          <a:pPr algn="l"/>
          <a:endParaRPr lang="en-US" sz="1100"/>
        </a:p>
        <a:p>
          <a:pPr algn="ctr"/>
          <a:r>
            <a:rPr lang="en-US" sz="1100" b="1" u="sng"/>
            <a:t>Financing</a:t>
          </a:r>
          <a:r>
            <a:rPr lang="en-US" sz="1100" b="1" u="sng" baseline="0"/>
            <a:t> Activities:</a:t>
          </a:r>
        </a:p>
        <a:p>
          <a:pPr algn="l"/>
          <a:r>
            <a:rPr lang="en-US" sz="1100" b="1" baseline="0"/>
            <a:t>6 June 2016 - 1 Dec, 2020: </a:t>
          </a:r>
          <a:r>
            <a:rPr lang="en-US" sz="1100" baseline="0"/>
            <a:t>Note Payable is a loan received from the founder, Thompson, with a 3% interest rate and is payable on demand. </a:t>
          </a:r>
        </a:p>
        <a:p>
          <a:pPr algn="l"/>
          <a:r>
            <a:rPr lang="en-US" sz="1100" b="1" baseline="0">
              <a:solidFill>
                <a:schemeClr val="dk1"/>
              </a:solidFill>
              <a:effectLst/>
              <a:latin typeface="+mn-lt"/>
              <a:ea typeface="+mn-ea"/>
              <a:cs typeface="+mn-cs"/>
            </a:rPr>
            <a:t>18 Jan, 2022</a:t>
          </a:r>
          <a:r>
            <a:rPr lang="en-US" sz="1100" baseline="0">
              <a:solidFill>
                <a:schemeClr val="dk1"/>
              </a:solidFill>
              <a:effectLst/>
              <a:latin typeface="+mn-lt"/>
              <a:ea typeface="+mn-ea"/>
              <a:cs typeface="+mn-cs"/>
            </a:rPr>
            <a:t>: </a:t>
          </a:r>
          <a:r>
            <a:rPr lang="en-US" sz="1100" baseline="0"/>
            <a:t>Received $8m in convertible debentures from Yorkville. They also issued a 5-yr warrant on 18 Jan, 2022 to purchase the 12.5m and 4.2m shares at 12c and 14c respectively. </a:t>
          </a:r>
        </a:p>
        <a:p>
          <a:pPr algn="l"/>
          <a:r>
            <a:rPr lang="en-US" sz="1100" b="1" baseline="0"/>
            <a:t>21 jan, 2025: </a:t>
          </a:r>
          <a:r>
            <a:rPr lang="en-US" sz="1100" b="0" baseline="0"/>
            <a:t>Entered into a SEPA agreement with Yorkville worth $10m </a:t>
          </a:r>
          <a:endParaRPr lang="en-US" sz="1100" b="1" baseline="0"/>
        </a:p>
        <a:p>
          <a:pPr algn="l"/>
          <a:endParaRPr lang="en-US" sz="1100" baseline="0"/>
        </a:p>
        <a:p>
          <a:pPr algn="ctr"/>
          <a:r>
            <a:rPr lang="en-US" sz="1100" b="1" u="sng" baseline="0"/>
            <a:t>News Updates:</a:t>
          </a:r>
        </a:p>
        <a:p>
          <a:pPr algn="l"/>
          <a:endParaRPr lang="en-US" sz="1100" b="0" u="none" baseline="0"/>
        </a:p>
        <a:p>
          <a:pPr algn="l"/>
          <a:r>
            <a:rPr lang="en-US" sz="1100" b="1" u="sng" baseline="0"/>
            <a:t>Feb-17-2026</a:t>
          </a:r>
          <a:r>
            <a:rPr lang="en-US" sz="1100" b="1" u="none" baseline="0"/>
            <a:t> - </a:t>
          </a:r>
          <a:r>
            <a:rPr lang="en-US" sz="1100" b="0" i="0">
              <a:solidFill>
                <a:schemeClr val="dk1"/>
              </a:solidFill>
              <a:effectLst/>
              <a:latin typeface="+mn-lt"/>
              <a:ea typeface="+mn-ea"/>
              <a:cs typeface="+mn-cs"/>
            </a:rPr>
            <a:t>Kraig Biocraft Laboratories, Inc. Activates First Wave of 2026 Production Program</a:t>
          </a:r>
        </a:p>
        <a:p>
          <a:pPr algn="l"/>
          <a:r>
            <a:rPr lang="en-US" sz="1100" b="0" u="none" baseline="0"/>
            <a:t>https://www.kraiglabs.com/kraig-biocraft-laboratories-activates-first-wave-of-2026-production-program/</a:t>
          </a:r>
        </a:p>
        <a:p>
          <a:pPr algn="l"/>
          <a:endParaRPr lang="en-US" sz="1100" b="0" u="none" baseline="0"/>
        </a:p>
        <a:p>
          <a:pPr algn="l"/>
          <a:r>
            <a:rPr lang="en-US" sz="1100" b="1" u="sng" baseline="0"/>
            <a:t>Sep-22-2025</a:t>
          </a:r>
          <a:r>
            <a:rPr lang="en-US" sz="1100" b="1" u="none" baseline="0"/>
            <a:t> - </a:t>
          </a:r>
          <a:r>
            <a:rPr lang="en-US" sz="1100" b="0" u="none" baseline="0"/>
            <a:t> </a:t>
          </a:r>
          <a:r>
            <a:rPr lang="en-US" sz="1100" b="0" i="0">
              <a:solidFill>
                <a:schemeClr val="dk1"/>
              </a:solidFill>
              <a:effectLst/>
              <a:latin typeface="+mn-lt"/>
              <a:ea typeface="+mn-ea"/>
              <a:cs typeface="+mn-cs"/>
            </a:rPr>
            <a:t>Kraig Labs Targets Eco Luxury Spider Silk Apparel Market</a:t>
          </a:r>
        </a:p>
        <a:p>
          <a:pPr algn="l"/>
          <a:r>
            <a:rPr lang="en-US" sz="1100" b="0" u="none" baseline="0"/>
            <a:t>https://finance.yahoo.com/news/24-7-market-news-kraig-120500719.html</a:t>
          </a:r>
        </a:p>
        <a:p>
          <a:pPr algn="l"/>
          <a:endParaRPr lang="en-US" sz="1100" b="0" u="none"/>
        </a:p>
      </xdr:txBody>
    </xdr:sp>
    <xdr:clientData/>
  </xdr:twoCellAnchor>
  <xdr:twoCellAnchor>
    <xdr:from>
      <xdr:col>0</xdr:col>
      <xdr:colOff>184726</xdr:colOff>
      <xdr:row>26</xdr:row>
      <xdr:rowOff>69273</xdr:rowOff>
    </xdr:from>
    <xdr:to>
      <xdr:col>10</xdr:col>
      <xdr:colOff>0</xdr:colOff>
      <xdr:row>44</xdr:row>
      <xdr:rowOff>173181</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xdr:row>
      <xdr:rowOff>0</xdr:rowOff>
    </xdr:from>
    <xdr:to>
      <xdr:col>9</xdr:col>
      <xdr:colOff>2112819</xdr:colOff>
      <xdr:row>25</xdr:row>
      <xdr:rowOff>184727</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134471</xdr:colOff>
      <xdr:row>0</xdr:row>
      <xdr:rowOff>89647</xdr:rowOff>
    </xdr:from>
    <xdr:to>
      <xdr:col>6</xdr:col>
      <xdr:colOff>0</xdr:colOff>
      <xdr:row>4</xdr:row>
      <xdr:rowOff>104589</xdr:rowOff>
    </xdr:to>
    <xdr:sp macro="[0]!Macro4" textlink="">
      <xdr:nvSpPr>
        <xdr:cNvPr id="3" name="Rectangle 2" descr="95dee960-8496-48a9-a44e-873473736805">
          <a:extLst>
            <a:ext uri="{FF2B5EF4-FFF2-40B4-BE49-F238E27FC236}">
              <a16:creationId xmlns:a16="http://schemas.microsoft.com/office/drawing/2014/main" id="{00000000-0008-0000-0200-000003000000}"/>
            </a:ext>
          </a:extLst>
        </xdr:cNvPr>
        <xdr:cNvSpPr/>
      </xdr:nvSpPr>
      <xdr:spPr>
        <a:xfrm>
          <a:off x="134471" y="89647"/>
          <a:ext cx="3175000" cy="762001"/>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Batang" panose="02030600000101010101" pitchFamily="18" charset="-127"/>
              <a:ea typeface="Batang" panose="02030600000101010101" pitchFamily="18" charset="-127"/>
            </a:rPr>
            <a:t>Copy</a:t>
          </a:r>
          <a:r>
            <a:rPr lang="en-US" sz="1800" b="1" baseline="0">
              <a:latin typeface="Batang" panose="02030600000101010101" pitchFamily="18" charset="-127"/>
              <a:ea typeface="Batang" panose="02030600000101010101" pitchFamily="18" charset="-127"/>
            </a:rPr>
            <a:t> 6 month data, then click here</a:t>
          </a:r>
          <a:endParaRPr lang="en-US" sz="1800" b="1">
            <a:latin typeface="Batang" panose="02030600000101010101" pitchFamily="18" charset="-127"/>
            <a:ea typeface="Batang" panose="02030600000101010101" pitchFamily="18" charset="-127"/>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Chinedu Okeke" id="{4DF94F7C-179C-4AD3-A8FD-8AC85130ED13}" userId="S::co149@duke.edu::0ec1f935-b2ae-42e3-a0a9-ec6495afeb2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I57" dT="2026-03-05T02:50:47.76" personId="{4DF94F7C-179C-4AD3-A8FD-8AC85130ED13}" id="{B86D030C-7CE9-4D93-B5CC-61F7921E449B}">
    <text>Accrued Expenses makes up 83% of CL</text>
  </threadedComment>
</ThreadedComment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22"/>
  <sheetViews>
    <sheetView workbookViewId="0">
      <selection activeCell="A23" sqref="A23"/>
    </sheetView>
  </sheetViews>
  <sheetFormatPr defaultColWidth="8.81640625" defaultRowHeight="14.5" x14ac:dyDescent="0.35"/>
  <cols>
    <col min="1" max="1" width="116.453125" style="23" bestFit="1" customWidth="1"/>
  </cols>
  <sheetData>
    <row r="1" spans="1:1" x14ac:dyDescent="0.35">
      <c r="A1" s="23" t="s">
        <v>73</v>
      </c>
    </row>
    <row r="2" spans="1:1" x14ac:dyDescent="0.35">
      <c r="A2" s="23" t="s">
        <v>51</v>
      </c>
    </row>
    <row r="3" spans="1:1" x14ac:dyDescent="0.35">
      <c r="A3" s="23" t="s">
        <v>52</v>
      </c>
    </row>
    <row r="4" spans="1:1" x14ac:dyDescent="0.35">
      <c r="A4" s="23" t="s">
        <v>54</v>
      </c>
    </row>
    <row r="5" spans="1:1" x14ac:dyDescent="0.35">
      <c r="A5" s="23" t="s">
        <v>53</v>
      </c>
    </row>
    <row r="6" spans="1:1" x14ac:dyDescent="0.35">
      <c r="A6" s="23" t="s">
        <v>55</v>
      </c>
    </row>
    <row r="7" spans="1:1" x14ac:dyDescent="0.35">
      <c r="A7" s="23" t="s">
        <v>56</v>
      </c>
    </row>
    <row r="8" spans="1:1" x14ac:dyDescent="0.35">
      <c r="A8" s="23" t="s">
        <v>57</v>
      </c>
    </row>
    <row r="9" spans="1:1" x14ac:dyDescent="0.35">
      <c r="A9" s="23" t="s">
        <v>58</v>
      </c>
    </row>
    <row r="10" spans="1:1" x14ac:dyDescent="0.35">
      <c r="A10" s="23" t="s">
        <v>74</v>
      </c>
    </row>
    <row r="11" spans="1:1" x14ac:dyDescent="0.35">
      <c r="A11" s="23" t="s">
        <v>75</v>
      </c>
    </row>
    <row r="12" spans="1:1" x14ac:dyDescent="0.35">
      <c r="A12" s="23" t="s">
        <v>76</v>
      </c>
    </row>
    <row r="13" spans="1:1" x14ac:dyDescent="0.35">
      <c r="A13" s="23" t="s">
        <v>77</v>
      </c>
    </row>
    <row r="16" spans="1:1" x14ac:dyDescent="0.35">
      <c r="A16" s="23" t="s">
        <v>83</v>
      </c>
    </row>
    <row r="17" spans="1:1" x14ac:dyDescent="0.35">
      <c r="A17" s="23" t="s">
        <v>78</v>
      </c>
    </row>
    <row r="18" spans="1:1" x14ac:dyDescent="0.35">
      <c r="A18" s="23" t="s">
        <v>79</v>
      </c>
    </row>
    <row r="19" spans="1:1" x14ac:dyDescent="0.35">
      <c r="A19" s="23" t="s">
        <v>80</v>
      </c>
    </row>
    <row r="20" spans="1:1" x14ac:dyDescent="0.35">
      <c r="A20" s="23" t="s">
        <v>81</v>
      </c>
    </row>
    <row r="21" spans="1:1" x14ac:dyDescent="0.35">
      <c r="A21" s="23" t="s">
        <v>82</v>
      </c>
    </row>
    <row r="22" spans="1:1" x14ac:dyDescent="0.35">
      <c r="A22" s="23" t="s">
        <v>84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B1:P100"/>
  <sheetViews>
    <sheetView tabSelected="1" topLeftCell="A2" zoomScale="70" zoomScaleNormal="70" zoomScaleSheetLayoutView="50" workbookViewId="0">
      <selection activeCell="I67" sqref="I67"/>
    </sheetView>
  </sheetViews>
  <sheetFormatPr defaultColWidth="8.81640625" defaultRowHeight="16" x14ac:dyDescent="0.35"/>
  <cols>
    <col min="1" max="1" width="2.54296875" style="4" customWidth="1"/>
    <col min="2" max="2" width="36.81640625" style="4" customWidth="1"/>
    <col min="3" max="3" width="17.81640625" style="4" bestFit="1" customWidth="1"/>
    <col min="4" max="4" width="15.1796875" style="4" bestFit="1" customWidth="1"/>
    <col min="5" max="5" width="27.26953125" style="4" customWidth="1"/>
    <col min="6" max="7" width="4.54296875" style="4" customWidth="1"/>
    <col min="8" max="8" width="53" style="4" customWidth="1"/>
    <col min="9" max="9" width="27.54296875" style="4" customWidth="1"/>
    <col min="10" max="10" width="30.26953125" style="4" customWidth="1"/>
    <col min="11" max="11" width="4.54296875" style="4" customWidth="1"/>
    <col min="12" max="16" width="28.81640625" style="4" customWidth="1"/>
    <col min="17" max="16384" width="8.81640625" style="4"/>
  </cols>
  <sheetData>
    <row r="1" spans="2:10" ht="16.5" thickBot="1" x14ac:dyDescent="0.4">
      <c r="B1" s="22"/>
      <c r="C1" s="22"/>
      <c r="D1" s="22"/>
      <c r="E1" s="6"/>
    </row>
    <row r="2" spans="2:10" ht="37.15" customHeight="1" thickBot="1" x14ac:dyDescent="0.4">
      <c r="B2" s="25" t="s">
        <v>96</v>
      </c>
      <c r="C2" s="26" t="s">
        <v>102</v>
      </c>
      <c r="D2" s="26"/>
      <c r="E2" s="26"/>
      <c r="F2" s="26"/>
      <c r="G2" s="26"/>
      <c r="H2" s="26" t="str">
        <f>"Current Price: $"&amp;J78</f>
        <v>Current Price: $0.1211</v>
      </c>
      <c r="I2" s="26"/>
      <c r="J2" s="27"/>
    </row>
    <row r="3" spans="2:10" x14ac:dyDescent="0.35">
      <c r="B3" s="82" t="s">
        <v>59</v>
      </c>
      <c r="C3" s="83" t="s">
        <v>103</v>
      </c>
      <c r="D3" s="84"/>
      <c r="E3" s="84"/>
      <c r="F3" s="84"/>
      <c r="G3" s="84"/>
      <c r="H3" s="85" t="s">
        <v>104</v>
      </c>
      <c r="I3" s="84"/>
      <c r="J3" s="86" t="s">
        <v>109</v>
      </c>
    </row>
    <row r="4" spans="2:10" x14ac:dyDescent="0.35">
      <c r="B4" s="80" t="s">
        <v>61</v>
      </c>
      <c r="C4" s="87">
        <v>3</v>
      </c>
      <c r="D4" s="87"/>
      <c r="E4" s="87"/>
      <c r="F4" s="87"/>
      <c r="G4" s="87"/>
      <c r="H4" s="88" t="s">
        <v>105</v>
      </c>
      <c r="I4" s="87"/>
      <c r="J4" s="89" t="s">
        <v>108</v>
      </c>
    </row>
    <row r="5" spans="2:10" ht="16.5" thickBot="1" x14ac:dyDescent="0.4">
      <c r="B5" s="90" t="s">
        <v>60</v>
      </c>
      <c r="C5" s="91">
        <v>44925</v>
      </c>
      <c r="D5" s="81"/>
      <c r="E5" s="81"/>
      <c r="F5" s="81"/>
      <c r="G5" s="81"/>
      <c r="H5" s="92" t="s">
        <v>106</v>
      </c>
      <c r="I5" s="81"/>
      <c r="J5" s="93" t="s">
        <v>107</v>
      </c>
    </row>
    <row r="6" spans="2:10" ht="16.5" thickBot="1" x14ac:dyDescent="0.4">
      <c r="J6" s="6"/>
    </row>
    <row r="7" spans="2:10" ht="16.5" thickBot="1" x14ac:dyDescent="0.4">
      <c r="B7" s="94" t="s">
        <v>85</v>
      </c>
      <c r="C7" s="206">
        <v>44623</v>
      </c>
      <c r="D7" s="95"/>
      <c r="E7" s="95"/>
      <c r="F7" s="95"/>
      <c r="G7" s="95"/>
      <c r="H7" s="95"/>
      <c r="I7" s="96" t="s">
        <v>70</v>
      </c>
      <c r="J7" s="148" t="s">
        <v>120</v>
      </c>
    </row>
    <row r="8" spans="2:10" x14ac:dyDescent="0.35">
      <c r="B8" s="155"/>
      <c r="C8" s="156"/>
      <c r="D8" s="156"/>
      <c r="E8" s="156"/>
      <c r="F8" s="156"/>
      <c r="G8" s="156"/>
      <c r="H8" s="156"/>
      <c r="I8" s="156"/>
      <c r="J8" s="157"/>
    </row>
    <row r="9" spans="2:10" ht="16.5" thickBot="1" x14ac:dyDescent="0.4">
      <c r="B9" s="158"/>
      <c r="C9" s="159"/>
      <c r="D9" s="159"/>
      <c r="E9" s="159"/>
      <c r="F9" s="159"/>
      <c r="G9" s="159"/>
      <c r="H9" s="159"/>
      <c r="I9" s="159"/>
      <c r="J9" s="160"/>
    </row>
    <row r="10" spans="2:10" x14ac:dyDescent="0.35">
      <c r="J10" s="6"/>
    </row>
    <row r="11" spans="2:10" x14ac:dyDescent="0.35">
      <c r="B11" s="22"/>
      <c r="C11" s="22"/>
      <c r="D11" s="22"/>
      <c r="E11" s="6"/>
    </row>
    <row r="46" spans="2:16" ht="16.5" thickBot="1" x14ac:dyDescent="0.4"/>
    <row r="47" spans="2:16" s="14" customFormat="1" ht="36" customHeight="1" thickTop="1" thickBot="1" x14ac:dyDescent="0.4">
      <c r="B47" s="149" t="s">
        <v>39</v>
      </c>
      <c r="C47" s="150"/>
      <c r="D47" s="150"/>
      <c r="E47" s="151"/>
      <c r="G47" s="149" t="s">
        <v>40</v>
      </c>
      <c r="H47" s="150"/>
      <c r="I47" s="150"/>
      <c r="J47" s="151"/>
      <c r="L47" s="149" t="s">
        <v>41</v>
      </c>
      <c r="M47" s="150"/>
      <c r="N47" s="150"/>
      <c r="O47" s="150"/>
      <c r="P47" s="151"/>
    </row>
    <row r="48" spans="2:16" ht="17" thickTop="1" thickBot="1" x14ac:dyDescent="0.4">
      <c r="B48" s="179" t="s">
        <v>94</v>
      </c>
      <c r="C48" s="179"/>
      <c r="D48" s="179"/>
      <c r="E48" s="179"/>
      <c r="G48" s="179" t="s">
        <v>95</v>
      </c>
      <c r="H48" s="179"/>
      <c r="I48" s="179"/>
      <c r="J48" s="179"/>
    </row>
    <row r="49" spans="2:16" ht="14.65" customHeight="1" x14ac:dyDescent="0.35">
      <c r="B49" s="167" t="s">
        <v>4</v>
      </c>
      <c r="C49" s="168"/>
      <c r="D49" s="168"/>
      <c r="E49" s="169"/>
      <c r="G49" s="170" t="s">
        <v>6</v>
      </c>
      <c r="H49" s="171"/>
      <c r="I49" s="33" t="s">
        <v>90</v>
      </c>
      <c r="J49" s="34" t="s">
        <v>89</v>
      </c>
      <c r="L49" s="32" t="s">
        <v>26</v>
      </c>
      <c r="M49" s="38"/>
      <c r="N49" s="38"/>
      <c r="O49" s="38"/>
      <c r="P49" s="15" t="s">
        <v>11</v>
      </c>
    </row>
    <row r="50" spans="2:16" ht="14.65" customHeight="1" x14ac:dyDescent="0.35">
      <c r="B50" s="115" t="s">
        <v>5</v>
      </c>
      <c r="C50" s="164" t="s">
        <v>45</v>
      </c>
      <c r="D50" s="165"/>
      <c r="E50" s="166"/>
      <c r="G50" s="71" t="s">
        <v>7</v>
      </c>
      <c r="H50" s="72"/>
      <c r="I50" s="112">
        <f>SUM(I67:I69)</f>
        <v>780</v>
      </c>
      <c r="J50" s="113">
        <f>SUM(J67:J69)</f>
        <v>-331</v>
      </c>
      <c r="L50" s="184" t="s">
        <v>27</v>
      </c>
      <c r="M50" s="185"/>
      <c r="N50" s="185"/>
      <c r="O50" s="185"/>
      <c r="P50" s="134">
        <f>AVERAGE(INDEX(Data!F:F,MATCH(BIGNUM,Data!F:F)-30+1):INDEX(Data!F:F,MATCH(BIGNUM,Data!F:F)))</f>
        <v>2712545.3666666667</v>
      </c>
    </row>
    <row r="51" spans="2:16" ht="14.65" customHeight="1" x14ac:dyDescent="0.35">
      <c r="B51" s="116" t="s">
        <v>110</v>
      </c>
      <c r="C51" s="196" t="s">
        <v>114</v>
      </c>
      <c r="D51" s="196"/>
      <c r="E51" s="197"/>
      <c r="G51" s="71" t="s">
        <v>6</v>
      </c>
      <c r="H51" s="72"/>
      <c r="I51" s="114">
        <f>IF($C$4=1,$I$50/3,IF($C$4=2,$I$50/6,IF($C$4=3,$I$50/9,$I$50/12)))</f>
        <v>86.666666666666671</v>
      </c>
      <c r="J51" s="114">
        <f>IF($C$4=1,$J$50/3,IF($C$4=2,$J$50/6,IF($C$4=3,$J$50/9,$J$50/12)))</f>
        <v>-36.777777777777779</v>
      </c>
      <c r="L51" s="184" t="s">
        <v>28</v>
      </c>
      <c r="M51" s="185"/>
      <c r="N51" s="185"/>
      <c r="O51" s="185"/>
      <c r="P51" s="134">
        <f>AVERAGE(INDEX(Data!F:F,MATCH(BIGNUM,Data!F:F)-60+1):INDEX(Data!F:F,MATCH(BIGNUM,Data!F:F)))</f>
        <v>1743660.6333333333</v>
      </c>
    </row>
    <row r="52" spans="2:16" ht="14.65" customHeight="1" thickBot="1" x14ac:dyDescent="0.4">
      <c r="B52" s="116" t="s">
        <v>111</v>
      </c>
      <c r="C52" s="196" t="s">
        <v>115</v>
      </c>
      <c r="D52" s="196"/>
      <c r="E52" s="197"/>
      <c r="G52" s="73" t="s">
        <v>8</v>
      </c>
      <c r="H52" s="74"/>
      <c r="I52" s="146" t="str">
        <f>IF((($I$55/(-$I$51))*30.4167)&gt;0,(($I$55/(-$I$51))*30.4167), "Infinite")</f>
        <v>Infinite</v>
      </c>
      <c r="J52" s="147">
        <f>IF((($J$55/(-$J$51))*30.4167)&gt;0,(($J$55/(-$J$51))*30.4167), "Infinite")</f>
        <v>984.17781570996965</v>
      </c>
      <c r="L52" s="184" t="s">
        <v>29</v>
      </c>
      <c r="M52" s="185"/>
      <c r="N52" s="185"/>
      <c r="O52" s="185"/>
      <c r="P52" s="134">
        <f>AVERAGE(INDEX(Data!F:F,MATCH(BIGNUM,Data!F:F)-90+1):INDEX(Data!F:F,MATCH(BIGNUM,Data!F:F)))</f>
        <v>1442514.5</v>
      </c>
    </row>
    <row r="53" spans="2:16" ht="14.65" customHeight="1" thickBot="1" x14ac:dyDescent="0.4">
      <c r="B53" s="116" t="s">
        <v>112</v>
      </c>
      <c r="C53" s="196" t="s">
        <v>116</v>
      </c>
      <c r="D53" s="196"/>
      <c r="E53" s="197"/>
      <c r="L53" s="184" t="s">
        <v>30</v>
      </c>
      <c r="M53" s="185"/>
      <c r="N53" s="185"/>
      <c r="O53" s="185"/>
      <c r="P53" s="134">
        <f>MIN(INDEX(Data!F:F,MATCH(BIGNUM,Data!F:F)-30+1):INDEX(Data!F:F,MATCH(BIGNUM,Data!F:F)))</f>
        <v>263203</v>
      </c>
    </row>
    <row r="54" spans="2:16" ht="14.65" customHeight="1" thickBot="1" x14ac:dyDescent="0.4">
      <c r="B54" s="116" t="s">
        <v>113</v>
      </c>
      <c r="C54" s="196" t="s">
        <v>117</v>
      </c>
      <c r="D54" s="196"/>
      <c r="E54" s="197"/>
      <c r="G54" s="173" t="s">
        <v>10</v>
      </c>
      <c r="H54" s="174"/>
      <c r="I54" s="33" t="s">
        <v>92</v>
      </c>
      <c r="J54" s="34" t="s">
        <v>89</v>
      </c>
      <c r="L54" s="188" t="s">
        <v>31</v>
      </c>
      <c r="M54" s="189"/>
      <c r="N54" s="189"/>
      <c r="O54" s="189"/>
      <c r="P54" s="135">
        <f>MAX(INDEX(Data!F:F,MATCH(BIGNUM,Data!F:F)-30+1):INDEX(Data!F:F,MATCH(BIGNUM,Data!F:F)))</f>
        <v>12167130</v>
      </c>
    </row>
    <row r="55" spans="2:16" ht="14.65" customHeight="1" thickBot="1" x14ac:dyDescent="0.4">
      <c r="B55" s="116"/>
      <c r="C55" s="196"/>
      <c r="D55" s="196"/>
      <c r="E55" s="197"/>
      <c r="G55" s="152" t="s">
        <v>42</v>
      </c>
      <c r="H55" s="75" t="s">
        <v>20</v>
      </c>
      <c r="I55" s="97">
        <v>1565</v>
      </c>
      <c r="J55" s="98">
        <v>1190</v>
      </c>
      <c r="L55" s="7"/>
      <c r="M55" s="7"/>
      <c r="N55" s="7"/>
      <c r="O55" s="8"/>
      <c r="P55" s="9"/>
    </row>
    <row r="56" spans="2:16" ht="14.65" customHeight="1" thickBot="1" x14ac:dyDescent="0.4">
      <c r="B56" s="117"/>
      <c r="C56" s="177"/>
      <c r="D56" s="177"/>
      <c r="E56" s="178"/>
      <c r="G56" s="153"/>
      <c r="H56" s="76" t="s">
        <v>21</v>
      </c>
      <c r="I56" s="99">
        <v>1639</v>
      </c>
      <c r="J56" s="100">
        <v>1238</v>
      </c>
      <c r="L56" s="35" t="s">
        <v>32</v>
      </c>
      <c r="M56" s="39"/>
      <c r="N56" s="39"/>
      <c r="O56" s="39"/>
      <c r="P56" s="16" t="s">
        <v>11</v>
      </c>
    </row>
    <row r="57" spans="2:16" ht="14.65" customHeight="1" thickBot="1" x14ac:dyDescent="0.4">
      <c r="G57" s="153"/>
      <c r="H57" s="76" t="s">
        <v>22</v>
      </c>
      <c r="I57" s="99">
        <v>10184</v>
      </c>
      <c r="J57" s="100">
        <v>9340</v>
      </c>
      <c r="L57" s="184" t="s">
        <v>27</v>
      </c>
      <c r="M57" s="185"/>
      <c r="N57" s="185"/>
      <c r="O57" s="185"/>
      <c r="P57" s="136">
        <f>AVERAGE(INDEX(Data!I:I,MATCH(BIGNUM,Data!I:I)-30+1):INDEX(Data!I:I,MATCH(BIGNUM,Data!I:I)))</f>
        <v>307915.9430733333</v>
      </c>
    </row>
    <row r="58" spans="2:16" ht="14.65" customHeight="1" x14ac:dyDescent="0.35">
      <c r="B58" s="170" t="s">
        <v>9</v>
      </c>
      <c r="C58" s="171"/>
      <c r="D58" s="171"/>
      <c r="E58" s="172"/>
      <c r="G58" s="153"/>
      <c r="H58" s="76" t="s">
        <v>23</v>
      </c>
      <c r="I58" s="99">
        <f>$I$56-$I$57</f>
        <v>-8545</v>
      </c>
      <c r="J58" s="100">
        <f>$J$56-$J$57</f>
        <v>-8102</v>
      </c>
      <c r="L58" s="184" t="s">
        <v>28</v>
      </c>
      <c r="M58" s="185"/>
      <c r="N58" s="185"/>
      <c r="O58" s="185"/>
      <c r="P58" s="136">
        <f>AVERAGE(INDEX(Data!I:I,MATCH(BIGNUM,Data!I:I)-60+1):INDEX(Data!I:I,MATCH(BIGNUM,Data!I:I)))</f>
        <v>186570.61250333334</v>
      </c>
    </row>
    <row r="59" spans="2:16" ht="14.65" customHeight="1" thickBot="1" x14ac:dyDescent="0.4">
      <c r="B59" s="198" t="s">
        <v>118</v>
      </c>
      <c r="C59" s="199"/>
      <c r="D59" s="199"/>
      <c r="E59" s="200"/>
      <c r="G59" s="154"/>
      <c r="H59" s="77" t="s">
        <v>46</v>
      </c>
      <c r="I59" s="101"/>
      <c r="J59" s="102"/>
      <c r="L59" s="184" t="s">
        <v>29</v>
      </c>
      <c r="M59" s="185"/>
      <c r="N59" s="185"/>
      <c r="O59" s="185"/>
      <c r="P59" s="136">
        <f>AVERAGE(INDEX(Data!I:I,MATCH(BIGNUM,Data!I:I)-90+1):INDEX(Data!I:I,MATCH(BIGNUM,Data!I:I)))</f>
        <v>148903.30179222222</v>
      </c>
    </row>
    <row r="60" spans="2:16" ht="14.65" customHeight="1" thickBot="1" x14ac:dyDescent="0.4">
      <c r="B60" s="201"/>
      <c r="C60" s="202"/>
      <c r="D60" s="202"/>
      <c r="E60" s="203"/>
      <c r="G60" s="173"/>
      <c r="H60" s="174"/>
      <c r="I60" s="33" t="s">
        <v>93</v>
      </c>
      <c r="J60" s="28" t="s">
        <v>91</v>
      </c>
      <c r="L60" s="186" t="s">
        <v>33</v>
      </c>
      <c r="M60" s="187"/>
      <c r="N60" s="187"/>
      <c r="O60" s="187"/>
      <c r="P60" s="136">
        <f>MIN(INDEX(Data!I:I,MATCH(BIGNUM,Data!I:I)-30+1):INDEX(Data!I:I,MATCH(BIGNUM,Data!I:I)))</f>
        <v>20799.617074999998</v>
      </c>
    </row>
    <row r="61" spans="2:16" ht="14.65" customHeight="1" x14ac:dyDescent="0.35">
      <c r="B61" s="201"/>
      <c r="C61" s="202"/>
      <c r="D61" s="202"/>
      <c r="E61" s="203"/>
      <c r="G61" s="161" t="s">
        <v>43</v>
      </c>
      <c r="H61" s="75" t="s">
        <v>15</v>
      </c>
      <c r="I61" s="103">
        <v>0</v>
      </c>
      <c r="J61" s="104"/>
      <c r="L61" s="186" t="s">
        <v>34</v>
      </c>
      <c r="M61" s="187"/>
      <c r="N61" s="187"/>
      <c r="O61" s="187"/>
      <c r="P61" s="136">
        <f>MAX(INDEX(Data!I:I,MATCH(BIGNUM,Data!I:I)-30+1):INDEX(Data!I:I,MATCH(BIGNUM,Data!I:I)))</f>
        <v>1487431.6425000001</v>
      </c>
    </row>
    <row r="62" spans="2:16" ht="14.65" customHeight="1" thickBot="1" x14ac:dyDescent="0.4">
      <c r="B62" s="201"/>
      <c r="C62" s="202"/>
      <c r="D62" s="202"/>
      <c r="E62" s="203"/>
      <c r="G62" s="162"/>
      <c r="H62" s="76" t="s">
        <v>16</v>
      </c>
      <c r="I62" s="105">
        <v>0</v>
      </c>
      <c r="J62" s="106"/>
      <c r="L62" s="180" t="str">
        <f>"Days traded less than $"&amp;$K$58&amp;" over the last 30 days"</f>
        <v>Days traded less than $ over the last 30 days</v>
      </c>
      <c r="M62" s="181"/>
      <c r="N62" s="181"/>
      <c r="O62" s="137">
        <v>5000</v>
      </c>
      <c r="P62" s="138">
        <f>COUNTIF(INDEX(Data!I:I,MATCH(BIGNUM,Data!I:I)-30+1):INDEX(Data!I:I,MATCH(BIGNUM,Data!I:I)),"&lt;"&amp;O62)</f>
        <v>0</v>
      </c>
    </row>
    <row r="63" spans="2:16" ht="14.65" customHeight="1" thickBot="1" x14ac:dyDescent="0.4">
      <c r="B63" s="201"/>
      <c r="C63" s="202"/>
      <c r="D63" s="202"/>
      <c r="E63" s="203"/>
      <c r="G63" s="162"/>
      <c r="H63" s="76" t="s">
        <v>17</v>
      </c>
      <c r="I63" s="105">
        <f>$I$61-$I$62</f>
        <v>0</v>
      </c>
      <c r="J63" s="106">
        <f>$J$61-$J$62</f>
        <v>0</v>
      </c>
      <c r="L63" s="7"/>
      <c r="M63" s="7"/>
      <c r="N63" s="7"/>
      <c r="O63" s="8"/>
      <c r="P63" s="9"/>
    </row>
    <row r="64" spans="2:16" ht="14.65" customHeight="1" x14ac:dyDescent="0.35">
      <c r="B64" s="201"/>
      <c r="C64" s="202"/>
      <c r="D64" s="202"/>
      <c r="E64" s="203"/>
      <c r="G64" s="162"/>
      <c r="H64" s="76" t="s">
        <v>18</v>
      </c>
      <c r="I64" s="111" t="str">
        <f>IFERROR($I$63/$I$61,"")</f>
        <v/>
      </c>
      <c r="J64" s="78" t="str">
        <f>IFERROR($J$63/$J$61,"")</f>
        <v/>
      </c>
      <c r="L64" s="32" t="s">
        <v>24</v>
      </c>
      <c r="M64" s="38"/>
      <c r="N64" s="40"/>
      <c r="O64" s="38"/>
      <c r="P64" s="41"/>
    </row>
    <row r="65" spans="2:16" ht="14.65" customHeight="1" thickBot="1" x14ac:dyDescent="0.4">
      <c r="B65" s="158"/>
      <c r="C65" s="159"/>
      <c r="D65" s="159"/>
      <c r="E65" s="160"/>
      <c r="G65" s="163"/>
      <c r="H65" s="77" t="s">
        <v>19</v>
      </c>
      <c r="I65" s="107">
        <v>-1509</v>
      </c>
      <c r="J65" s="108">
        <v>-433</v>
      </c>
      <c r="L65" s="139" t="s">
        <v>25</v>
      </c>
      <c r="M65" s="140"/>
      <c r="N65" s="43">
        <v>30</v>
      </c>
      <c r="O65" s="43">
        <v>60</v>
      </c>
      <c r="P65" s="44">
        <v>90</v>
      </c>
    </row>
    <row r="66" spans="2:16" ht="14.65" customHeight="1" thickBot="1" x14ac:dyDescent="0.4">
      <c r="G66" s="175"/>
      <c r="H66" s="176"/>
      <c r="I66" s="33" t="s">
        <v>88</v>
      </c>
      <c r="J66" s="34" t="s">
        <v>89</v>
      </c>
      <c r="L66" s="141">
        <v>0.3</v>
      </c>
      <c r="M66" s="142"/>
      <c r="N66" s="46">
        <f>$L66*$P$57</f>
        <v>92374.782921999984</v>
      </c>
      <c r="O66" s="46">
        <f>$L66*$P$58</f>
        <v>55971.183750999997</v>
      </c>
      <c r="P66" s="145">
        <f>$L66*$P$59</f>
        <v>44670.990537666665</v>
      </c>
    </row>
    <row r="67" spans="2:16" ht="14.65" customHeight="1" thickBot="1" x14ac:dyDescent="0.4">
      <c r="B67" s="29" t="s">
        <v>66</v>
      </c>
      <c r="C67" s="30" t="s">
        <v>67</v>
      </c>
      <c r="D67" s="30" t="s">
        <v>69</v>
      </c>
      <c r="E67" s="31" t="s">
        <v>68</v>
      </c>
      <c r="G67" s="161" t="s">
        <v>44</v>
      </c>
      <c r="H67" s="75" t="s">
        <v>12</v>
      </c>
      <c r="I67" s="97">
        <v>-461</v>
      </c>
      <c r="J67" s="98">
        <v>-326</v>
      </c>
      <c r="L67" s="57">
        <v>100000</v>
      </c>
      <c r="M67" s="143"/>
      <c r="N67" s="48" t="str">
        <f t="shared" ref="N67:P69" si="0">ROUND(($L67/N$66),1)&amp;" Trading Days, "&amp;ROUND(($L67/N$66)/20,1)&amp;" Months"</f>
        <v>1.1 Trading Days, 0.1 Months</v>
      </c>
      <c r="O67" s="48" t="str">
        <f t="shared" si="0"/>
        <v>1.8 Trading Days, 0.1 Months</v>
      </c>
      <c r="P67" s="49" t="str">
        <f t="shared" si="0"/>
        <v>2.2 Trading Days, 0.1 Months</v>
      </c>
    </row>
    <row r="68" spans="2:16" ht="14.65" customHeight="1" x14ac:dyDescent="0.35">
      <c r="B68" s="118" t="s">
        <v>119</v>
      </c>
      <c r="C68" s="119"/>
      <c r="D68" s="204">
        <v>44468</v>
      </c>
      <c r="E68" s="205">
        <v>1E-4</v>
      </c>
      <c r="G68" s="162"/>
      <c r="H68" s="76" t="s">
        <v>13</v>
      </c>
      <c r="I68" s="99">
        <v>222</v>
      </c>
      <c r="J68" s="100">
        <v>0</v>
      </c>
      <c r="L68" s="57">
        <v>50000</v>
      </c>
      <c r="M68" s="143"/>
      <c r="N68" s="48" t="str">
        <f t="shared" si="0"/>
        <v>0.5 Trading Days, 0 Months</v>
      </c>
      <c r="O68" s="48" t="str">
        <f t="shared" si="0"/>
        <v>0.9 Trading Days, 0 Months</v>
      </c>
      <c r="P68" s="49" t="str">
        <f t="shared" si="0"/>
        <v>1.1 Trading Days, 0.1 Months</v>
      </c>
    </row>
    <row r="69" spans="2:16" ht="14.65" customHeight="1" thickBot="1" x14ac:dyDescent="0.4">
      <c r="B69" s="120"/>
      <c r="C69" s="121"/>
      <c r="D69" s="121"/>
      <c r="E69" s="122"/>
      <c r="G69" s="163"/>
      <c r="H69" s="79" t="s">
        <v>14</v>
      </c>
      <c r="I69" s="109">
        <v>1019</v>
      </c>
      <c r="J69" s="110">
        <v>-5</v>
      </c>
      <c r="L69" s="58">
        <v>25000</v>
      </c>
      <c r="M69" s="144"/>
      <c r="N69" s="51" t="str">
        <f t="shared" si="0"/>
        <v>0.3 Trading Days, 0 Months</v>
      </c>
      <c r="O69" s="51" t="str">
        <f t="shared" si="0"/>
        <v>0.4 Trading Days, 0 Months</v>
      </c>
      <c r="P69" s="52" t="str">
        <f t="shared" si="0"/>
        <v>0.6 Trading Days, 0 Months</v>
      </c>
    </row>
    <row r="70" spans="2:16" ht="14.65" customHeight="1" thickBot="1" x14ac:dyDescent="0.4">
      <c r="B70" s="120"/>
      <c r="C70" s="121"/>
      <c r="D70" s="121"/>
      <c r="E70" s="122"/>
      <c r="L70" s="5"/>
      <c r="M70" s="5"/>
      <c r="N70" s="6"/>
      <c r="O70" s="6"/>
      <c r="P70" s="6"/>
    </row>
    <row r="71" spans="2:16" ht="14.65" customHeight="1" x14ac:dyDescent="0.35">
      <c r="B71" s="120"/>
      <c r="C71" s="121"/>
      <c r="D71" s="121"/>
      <c r="E71" s="122"/>
      <c r="G71" s="167" t="s">
        <v>64</v>
      </c>
      <c r="H71" s="168"/>
      <c r="I71" s="168"/>
      <c r="J71" s="15" t="s">
        <v>11</v>
      </c>
      <c r="L71" s="32" t="s">
        <v>24</v>
      </c>
      <c r="M71" s="38"/>
      <c r="N71" s="53"/>
      <c r="O71" s="54"/>
      <c r="P71" s="55"/>
    </row>
    <row r="72" spans="2:16" ht="14.65" customHeight="1" x14ac:dyDescent="0.35">
      <c r="B72" s="120"/>
      <c r="C72" s="121"/>
      <c r="D72" s="121"/>
      <c r="E72" s="122"/>
      <c r="G72" s="182" t="s">
        <v>63</v>
      </c>
      <c r="H72" s="183"/>
      <c r="I72" s="183"/>
      <c r="J72" s="126"/>
      <c r="L72" s="36" t="s">
        <v>25</v>
      </c>
      <c r="M72" s="42"/>
      <c r="N72" s="43">
        <v>30</v>
      </c>
      <c r="O72" s="43">
        <v>60</v>
      </c>
      <c r="P72" s="44">
        <v>90</v>
      </c>
    </row>
    <row r="73" spans="2:16" ht="14.65" customHeight="1" x14ac:dyDescent="0.35">
      <c r="B73" s="120"/>
      <c r="C73" s="121"/>
      <c r="D73" s="121"/>
      <c r="E73" s="122"/>
      <c r="G73" s="182" t="s">
        <v>62</v>
      </c>
      <c r="H73" s="183"/>
      <c r="I73" s="183"/>
      <c r="J73" s="126">
        <v>1096637230</v>
      </c>
      <c r="L73" s="56">
        <v>0.2</v>
      </c>
      <c r="M73" s="45"/>
      <c r="N73" s="46">
        <f>$L73*$P$57</f>
        <v>61583.188614666666</v>
      </c>
      <c r="O73" s="46">
        <f>$L73*$P$58</f>
        <v>37314.122500666672</v>
      </c>
      <c r="P73" s="145">
        <f>$L73*$P$59</f>
        <v>29780.660358444446</v>
      </c>
    </row>
    <row r="74" spans="2:16" ht="14.65" customHeight="1" x14ac:dyDescent="0.35">
      <c r="B74" s="120"/>
      <c r="C74" s="121"/>
      <c r="D74" s="121"/>
      <c r="E74" s="122"/>
      <c r="G74" s="182" t="s">
        <v>87</v>
      </c>
      <c r="H74" s="183"/>
      <c r="I74" s="183"/>
      <c r="J74" s="126">
        <v>1096637230</v>
      </c>
      <c r="L74" s="57">
        <v>100000</v>
      </c>
      <c r="M74" s="47"/>
      <c r="N74" s="48" t="str">
        <f t="shared" ref="N74:P76" si="1">ROUND(($L74/N$73),1)&amp;" Trading Days, "&amp;ROUND(($L74/N$73)/20,1)&amp;" Months"</f>
        <v>1.6 Trading Days, 0.1 Months</v>
      </c>
      <c r="O74" s="48" t="str">
        <f t="shared" si="1"/>
        <v>2.7 Trading Days, 0.1 Months</v>
      </c>
      <c r="P74" s="49" t="str">
        <f t="shared" si="1"/>
        <v>3.4 Trading Days, 0.2 Months</v>
      </c>
    </row>
    <row r="75" spans="2:16" ht="14.65" customHeight="1" x14ac:dyDescent="0.35">
      <c r="B75" s="120"/>
      <c r="C75" s="121"/>
      <c r="D75" s="121"/>
      <c r="E75" s="122"/>
      <c r="G75" s="182" t="s">
        <v>65</v>
      </c>
      <c r="H75" s="183"/>
      <c r="I75" s="183"/>
      <c r="J75" s="127"/>
      <c r="L75" s="57">
        <v>50000</v>
      </c>
      <c r="M75" s="47"/>
      <c r="N75" s="48" t="str">
        <f t="shared" si="1"/>
        <v>0.8 Trading Days, 0 Months</v>
      </c>
      <c r="O75" s="48" t="str">
        <f t="shared" si="1"/>
        <v>1.3 Trading Days, 0.1 Months</v>
      </c>
      <c r="P75" s="49" t="str">
        <f t="shared" si="1"/>
        <v>1.7 Trading Days, 0.1 Months</v>
      </c>
    </row>
    <row r="76" spans="2:16" ht="14.65" customHeight="1" thickBot="1" x14ac:dyDescent="0.4">
      <c r="B76" s="120"/>
      <c r="C76" s="121"/>
      <c r="D76" s="121"/>
      <c r="E76" s="122"/>
      <c r="G76" s="190" t="s">
        <v>36</v>
      </c>
      <c r="H76" s="191"/>
      <c r="I76" s="191"/>
      <c r="J76" s="128">
        <f>$J$73*0.0499</f>
        <v>54722197.777000003</v>
      </c>
      <c r="L76" s="58">
        <v>25000</v>
      </c>
      <c r="M76" s="50"/>
      <c r="N76" s="51" t="str">
        <f t="shared" si="1"/>
        <v>0.4 Trading Days, 0 Months</v>
      </c>
      <c r="O76" s="51" t="str">
        <f t="shared" si="1"/>
        <v>0.7 Trading Days, 0 Months</v>
      </c>
      <c r="P76" s="52" t="str">
        <f t="shared" si="1"/>
        <v>0.8 Trading Days, 0 Months</v>
      </c>
    </row>
    <row r="77" spans="2:16" ht="14.65" customHeight="1" thickBot="1" x14ac:dyDescent="0.4">
      <c r="B77" s="123"/>
      <c r="C77" s="124"/>
      <c r="D77" s="124"/>
      <c r="E77" s="125"/>
      <c r="G77" s="190" t="s">
        <v>50</v>
      </c>
      <c r="H77" s="191"/>
      <c r="I77" s="191"/>
      <c r="J77" s="129">
        <f>$J$76*$J$78</f>
        <v>6626858.1507947007</v>
      </c>
      <c r="L77" s="10"/>
      <c r="M77" s="10"/>
      <c r="N77" s="11"/>
      <c r="O77" s="11"/>
      <c r="P77" s="11"/>
    </row>
    <row r="78" spans="2:16" ht="14.65" customHeight="1" thickBot="1" x14ac:dyDescent="0.4">
      <c r="G78" s="182" t="s">
        <v>37</v>
      </c>
      <c r="H78" s="183"/>
      <c r="I78" s="183"/>
      <c r="J78" s="130">
        <f>INDEX(Data!H:H,MATCH(BIGNUM,Data!H:H))</f>
        <v>0.1211</v>
      </c>
      <c r="L78" s="32" t="s">
        <v>24</v>
      </c>
      <c r="M78" s="59"/>
      <c r="N78" s="60"/>
      <c r="O78" s="60"/>
      <c r="P78" s="61"/>
    </row>
    <row r="79" spans="2:16" ht="14.65" customHeight="1" thickBot="1" x14ac:dyDescent="0.4">
      <c r="B79" s="132" t="s">
        <v>71</v>
      </c>
      <c r="C79" s="194"/>
      <c r="D79" s="194"/>
      <c r="E79" s="195"/>
      <c r="G79" s="192" t="s">
        <v>38</v>
      </c>
      <c r="H79" s="193"/>
      <c r="I79" s="193"/>
      <c r="J79" s="131">
        <f>$J$78*$J$74</f>
        <v>132802768.553</v>
      </c>
      <c r="L79" s="37" t="s">
        <v>25</v>
      </c>
      <c r="M79" s="62"/>
      <c r="N79" s="63">
        <v>30</v>
      </c>
      <c r="O79" s="63">
        <v>60</v>
      </c>
      <c r="P79" s="64">
        <v>90</v>
      </c>
    </row>
    <row r="80" spans="2:16" ht="14.65" customHeight="1" thickBot="1" x14ac:dyDescent="0.4">
      <c r="B80" s="133" t="s">
        <v>72</v>
      </c>
      <c r="C80" s="177"/>
      <c r="D80" s="177"/>
      <c r="E80" s="178"/>
      <c r="L80" s="65">
        <v>0.1</v>
      </c>
      <c r="M80" s="66"/>
      <c r="N80" s="46">
        <f>$L80*$P$57</f>
        <v>30791.594307333333</v>
      </c>
      <c r="O80" s="46">
        <f>$L80*$P$58</f>
        <v>18657.061250333336</v>
      </c>
      <c r="P80" s="145">
        <f>$L80*$P$59</f>
        <v>14890.330179222223</v>
      </c>
    </row>
    <row r="81" spans="2:16" ht="14.65" customHeight="1" thickBot="1" x14ac:dyDescent="0.4">
      <c r="B81" s="133" t="s">
        <v>86</v>
      </c>
      <c r="C81" s="177"/>
      <c r="D81" s="177"/>
      <c r="E81" s="178"/>
      <c r="L81" s="67">
        <v>100000</v>
      </c>
      <c r="M81" s="68"/>
      <c r="N81" s="48" t="str">
        <f t="shared" ref="N81:P83" si="2">ROUND(($L81/N$80),1)&amp;" Trading Days, "&amp;ROUND(($L81/N$80)/20,1)&amp;" Months"</f>
        <v>3.2 Trading Days, 0.2 Months</v>
      </c>
      <c r="O81" s="48" t="str">
        <f t="shared" si="2"/>
        <v>5.4 Trading Days, 0.3 Months</v>
      </c>
      <c r="P81" s="49" t="str">
        <f t="shared" si="2"/>
        <v>6.7 Trading Days, 0.3 Months</v>
      </c>
    </row>
    <row r="82" spans="2:16" ht="12" customHeight="1" x14ac:dyDescent="0.35">
      <c r="L82" s="67">
        <v>50000</v>
      </c>
      <c r="M82" s="68"/>
      <c r="N82" s="48" t="str">
        <f t="shared" si="2"/>
        <v>1.6 Trading Days, 0.1 Months</v>
      </c>
      <c r="O82" s="48" t="str">
        <f t="shared" si="2"/>
        <v>2.7 Trading Days, 0.1 Months</v>
      </c>
      <c r="P82" s="49" t="str">
        <f t="shared" si="2"/>
        <v>3.4 Trading Days, 0.2 Months</v>
      </c>
    </row>
    <row r="83" spans="2:16" ht="14.65" customHeight="1" thickBot="1" x14ac:dyDescent="0.4">
      <c r="L83" s="69">
        <v>25000</v>
      </c>
      <c r="M83" s="70"/>
      <c r="N83" s="51" t="str">
        <f t="shared" si="2"/>
        <v>0.8 Trading Days, 0 Months</v>
      </c>
      <c r="O83" s="51" t="str">
        <f t="shared" si="2"/>
        <v>1.3 Trading Days, 0.1 Months</v>
      </c>
      <c r="P83" s="52" t="str">
        <f t="shared" si="2"/>
        <v>1.7 Trading Days, 0.1 Months</v>
      </c>
    </row>
    <row r="84" spans="2:16" ht="12" customHeight="1" x14ac:dyDescent="0.35"/>
    <row r="85" spans="2:16" ht="12" customHeight="1" x14ac:dyDescent="0.35"/>
    <row r="86" spans="2:16" ht="12" customHeight="1" x14ac:dyDescent="0.35"/>
    <row r="87" spans="2:16" ht="12" customHeight="1" x14ac:dyDescent="0.35"/>
    <row r="88" spans="2:16" ht="12" customHeight="1" x14ac:dyDescent="0.35"/>
    <row r="89" spans="2:16" ht="12" customHeight="1" x14ac:dyDescent="0.35"/>
    <row r="90" spans="2:16" ht="12" customHeight="1" x14ac:dyDescent="0.35"/>
    <row r="91" spans="2:16" ht="12" customHeight="1" x14ac:dyDescent="0.35"/>
    <row r="92" spans="2:16" ht="12" customHeight="1" x14ac:dyDescent="0.35"/>
    <row r="93" spans="2:16" ht="12" customHeight="1" x14ac:dyDescent="0.35"/>
    <row r="94" spans="2:16" ht="12" customHeight="1" x14ac:dyDescent="0.35"/>
    <row r="95" spans="2:16" ht="12" customHeight="1" x14ac:dyDescent="0.35"/>
    <row r="96" spans="2:16" ht="16.5" customHeight="1" x14ac:dyDescent="0.35"/>
    <row r="97" ht="16.5" customHeight="1" x14ac:dyDescent="0.35"/>
    <row r="98" ht="16.5" customHeight="1" x14ac:dyDescent="0.35"/>
    <row r="99" ht="16.5" customHeight="1" x14ac:dyDescent="0.35"/>
    <row r="100" ht="16.5" customHeight="1" x14ac:dyDescent="0.35"/>
  </sheetData>
  <mergeCells count="46">
    <mergeCell ref="G48:J48"/>
    <mergeCell ref="C81:E81"/>
    <mergeCell ref="G77:I77"/>
    <mergeCell ref="G78:I78"/>
    <mergeCell ref="G79:I79"/>
    <mergeCell ref="G76:I76"/>
    <mergeCell ref="C79:E79"/>
    <mergeCell ref="C80:E80"/>
    <mergeCell ref="C51:E51"/>
    <mergeCell ref="C52:E52"/>
    <mergeCell ref="C53:E53"/>
    <mergeCell ref="C54:E54"/>
    <mergeCell ref="C55:E55"/>
    <mergeCell ref="B59:E65"/>
    <mergeCell ref="L50:O50"/>
    <mergeCell ref="L51:O51"/>
    <mergeCell ref="L52:O52"/>
    <mergeCell ref="L53:O53"/>
    <mergeCell ref="L54:O54"/>
    <mergeCell ref="L57:O57"/>
    <mergeCell ref="L58:O58"/>
    <mergeCell ref="L59:O59"/>
    <mergeCell ref="L60:O60"/>
    <mergeCell ref="L61:O61"/>
    <mergeCell ref="L62:N62"/>
    <mergeCell ref="G72:I72"/>
    <mergeCell ref="G73:I73"/>
    <mergeCell ref="G74:I74"/>
    <mergeCell ref="G75:I75"/>
    <mergeCell ref="G71:I71"/>
    <mergeCell ref="L47:P47"/>
    <mergeCell ref="G55:G59"/>
    <mergeCell ref="B8:J9"/>
    <mergeCell ref="G61:G65"/>
    <mergeCell ref="G67:G69"/>
    <mergeCell ref="C50:E50"/>
    <mergeCell ref="B49:E49"/>
    <mergeCell ref="B58:E58"/>
    <mergeCell ref="B47:E47"/>
    <mergeCell ref="G47:J47"/>
    <mergeCell ref="G49:H49"/>
    <mergeCell ref="G54:H54"/>
    <mergeCell ref="G60:H60"/>
    <mergeCell ref="G66:H66"/>
    <mergeCell ref="C56:E56"/>
    <mergeCell ref="B48:E48"/>
  </mergeCells>
  <conditionalFormatting sqref="P50">
    <cfRule type="colorScale" priority="17">
      <colorScale>
        <cfvo type="num" val="0"/>
        <cfvo type="num" val="10000"/>
        <color rgb="FFFF9999"/>
        <color theme="9" tint="0.59999389629810485"/>
      </colorScale>
    </cfRule>
  </conditionalFormatting>
  <conditionalFormatting sqref="J3">
    <cfRule type="containsText" dxfId="14" priority="15" operator="containsText" text="Exchange">
      <formula>NOT(ISERROR(SEARCH("Exchange",J3)))</formula>
    </cfRule>
  </conditionalFormatting>
  <conditionalFormatting sqref="J4">
    <cfRule type="containsText" dxfId="13" priority="14" operator="containsText" text="Stock Symbol">
      <formula>NOT(ISERROR(SEARCH("Stock Symbol",J4)))</formula>
    </cfRule>
  </conditionalFormatting>
  <conditionalFormatting sqref="J5">
    <cfRule type="containsText" dxfId="12" priority="13" operator="containsText" text="CIK Code">
      <formula>NOT(ISERROR(SEARCH("CIK Code",J5)))</formula>
    </cfRule>
  </conditionalFormatting>
  <conditionalFormatting sqref="H5">
    <cfRule type="containsText" dxfId="11" priority="12" operator="containsText" text="Website">
      <formula>NOT(ISERROR(SEARCH("Website",H5)))</formula>
    </cfRule>
  </conditionalFormatting>
  <conditionalFormatting sqref="H4">
    <cfRule type="containsText" dxfId="10" priority="11" operator="containsText" text="Phone Number">
      <formula>NOT(ISERROR(SEARCH("Phone Number",H4)))</formula>
    </cfRule>
  </conditionalFormatting>
  <conditionalFormatting sqref="H3">
    <cfRule type="containsText" dxfId="9" priority="10" operator="containsText" text="Domicile">
      <formula>NOT(ISERROR(SEARCH("Domicile",H3)))</formula>
    </cfRule>
  </conditionalFormatting>
  <conditionalFormatting sqref="C3:C5 J75 I65:J65 I67:J69">
    <cfRule type="containsBlanks" dxfId="8" priority="9">
      <formula>LEN(TRIM(C3))=0</formula>
    </cfRule>
  </conditionalFormatting>
  <conditionalFormatting sqref="B51:C53 B59:E65 B56:C56 B54:B55">
    <cfRule type="containsBlanks" dxfId="7" priority="8">
      <formula>LEN(TRIM(B51))=0</formula>
    </cfRule>
  </conditionalFormatting>
  <conditionalFormatting sqref="I55:J57 I61:J62">
    <cfRule type="containsBlanks" dxfId="6" priority="7">
      <formula>LEN(TRIM(I55))=0</formula>
    </cfRule>
  </conditionalFormatting>
  <conditionalFormatting sqref="J72:J74">
    <cfRule type="containsBlanks" dxfId="5" priority="6">
      <formula>LEN(TRIM(J72))=0</formula>
    </cfRule>
  </conditionalFormatting>
  <conditionalFormatting sqref="B2">
    <cfRule type="containsText" dxfId="4" priority="5" operator="containsText" text="Company Name">
      <formula>NOT(ISERROR(SEARCH("Company Name",B2)))</formula>
    </cfRule>
  </conditionalFormatting>
  <conditionalFormatting sqref="B68:E77">
    <cfRule type="containsBlanks" dxfId="3" priority="4">
      <formula>LEN(TRIM(B68))=0</formula>
    </cfRule>
  </conditionalFormatting>
  <conditionalFormatting sqref="J7">
    <cfRule type="containsBlanks" dxfId="2" priority="3">
      <formula>LEN(TRIM(J7))=0</formula>
    </cfRule>
  </conditionalFormatting>
  <conditionalFormatting sqref="C54">
    <cfRule type="containsBlanks" dxfId="1" priority="2">
      <formula>LEN(TRIM(C54))=0</formula>
    </cfRule>
  </conditionalFormatting>
  <conditionalFormatting sqref="C55">
    <cfRule type="containsBlanks" dxfId="0" priority="1">
      <formula>LEN(TRIM(C55))=0</formula>
    </cfRule>
  </conditionalFormatting>
  <pageMargins left="0.25" right="0.25" top="0.75" bottom="0.75" header="0.3" footer="0.3"/>
  <pageSetup paperSize="9" orientation="portrait" r:id="rId1"/>
  <drawing r:id="rId2"/>
  <legacyDrawing r:id="rId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I136"/>
  <sheetViews>
    <sheetView topLeftCell="A120" zoomScale="85" zoomScaleNormal="85" zoomScalePageLayoutView="85" workbookViewId="0">
      <selection activeCell="A131" sqref="A131"/>
    </sheetView>
  </sheetViews>
  <sheetFormatPr defaultColWidth="8.81640625" defaultRowHeight="14.5" x14ac:dyDescent="0.35"/>
  <cols>
    <col min="1" max="1" width="11" bestFit="1" customWidth="1"/>
    <col min="2" max="5" width="6.81640625" bestFit="1" customWidth="1"/>
    <col min="6" max="6" width="7.81640625" bestFit="1" customWidth="1"/>
    <col min="9" max="9" width="13.54296875" bestFit="1" customWidth="1"/>
  </cols>
  <sheetData>
    <row r="5" spans="1:9" x14ac:dyDescent="0.35">
      <c r="A5" s="12"/>
    </row>
    <row r="6" spans="1:9" ht="21" x14ac:dyDescent="0.5">
      <c r="A6" s="3" t="s">
        <v>3</v>
      </c>
      <c r="B6" s="3"/>
      <c r="C6" s="3"/>
      <c r="D6" s="3"/>
      <c r="E6" s="3"/>
      <c r="F6" s="3"/>
      <c r="G6" s="3"/>
      <c r="H6" s="3"/>
      <c r="I6" s="3"/>
    </row>
    <row r="7" spans="1:9" x14ac:dyDescent="0.35">
      <c r="A7" t="s">
        <v>48</v>
      </c>
      <c r="B7" t="s">
        <v>97</v>
      </c>
      <c r="C7" t="s">
        <v>98</v>
      </c>
      <c r="D7" t="s">
        <v>99</v>
      </c>
      <c r="E7" t="s">
        <v>100</v>
      </c>
      <c r="F7" t="s">
        <v>101</v>
      </c>
      <c r="G7" s="18" t="s">
        <v>0</v>
      </c>
      <c r="H7" s="19" t="s">
        <v>1</v>
      </c>
      <c r="I7" s="19" t="s">
        <v>2</v>
      </c>
    </row>
    <row r="8" spans="1:9" x14ac:dyDescent="0.35">
      <c r="A8" s="17">
        <v>44443</v>
      </c>
      <c r="B8">
        <v>8.1000000000000003E-2</v>
      </c>
      <c r="C8">
        <v>8.3199999999999996E-2</v>
      </c>
      <c r="D8">
        <v>8.0799999999999997E-2</v>
      </c>
      <c r="E8">
        <v>8.2799999999999999E-2</v>
      </c>
      <c r="F8">
        <v>768248</v>
      </c>
      <c r="G8" s="20">
        <f>(AVERAGE(B8:E8)*F8)/F8</f>
        <v>8.1949999999999995E-2</v>
      </c>
      <c r="H8" s="20">
        <f>AVERAGE(B8:E8)</f>
        <v>8.1949999999999995E-2</v>
      </c>
      <c r="I8" s="21">
        <f>F8*AVERAGE(B8:E8)</f>
        <v>62957.923599999995</v>
      </c>
    </row>
    <row r="9" spans="1:9" x14ac:dyDescent="0.35">
      <c r="A9" s="17">
        <v>44446</v>
      </c>
      <c r="B9">
        <v>8.3199999999999996E-2</v>
      </c>
      <c r="C9">
        <v>8.4900000000000003E-2</v>
      </c>
      <c r="D9">
        <v>8.1500000000000003E-2</v>
      </c>
      <c r="E9">
        <v>8.2000000000000003E-2</v>
      </c>
      <c r="F9">
        <v>1668392</v>
      </c>
      <c r="G9" s="20">
        <f t="shared" ref="G9:G72" si="0">(AVERAGE(B9:E9)*F9)/F9</f>
        <v>8.2900000000000001E-2</v>
      </c>
      <c r="H9" s="20">
        <f t="shared" ref="H9:H72" si="1">AVERAGE(B9:E9)</f>
        <v>8.2900000000000001E-2</v>
      </c>
      <c r="I9" s="21">
        <f t="shared" ref="I9:I72" si="2">F9*AVERAGE(B9:E9)</f>
        <v>138309.69680000001</v>
      </c>
    </row>
    <row r="10" spans="1:9" x14ac:dyDescent="0.35">
      <c r="A10" s="17">
        <v>44447</v>
      </c>
      <c r="B10">
        <v>8.1000000000000003E-2</v>
      </c>
      <c r="C10">
        <v>8.2500000000000004E-2</v>
      </c>
      <c r="D10">
        <v>8.1000000000000003E-2</v>
      </c>
      <c r="E10">
        <v>8.2000000000000003E-2</v>
      </c>
      <c r="F10">
        <v>1123348</v>
      </c>
      <c r="G10" s="20">
        <f t="shared" si="0"/>
        <v>8.1625000000000003E-2</v>
      </c>
      <c r="H10" s="20">
        <f t="shared" si="1"/>
        <v>8.1625000000000003E-2</v>
      </c>
      <c r="I10" s="21">
        <f t="shared" si="2"/>
        <v>91693.280500000008</v>
      </c>
    </row>
    <row r="11" spans="1:9" x14ac:dyDescent="0.35">
      <c r="A11" s="17">
        <v>44448</v>
      </c>
      <c r="B11">
        <v>8.3000000000000004E-2</v>
      </c>
      <c r="C11">
        <v>8.3000000000000004E-2</v>
      </c>
      <c r="D11">
        <v>8.1000000000000003E-2</v>
      </c>
      <c r="E11">
        <v>8.1500000000000003E-2</v>
      </c>
      <c r="F11">
        <v>525340</v>
      </c>
      <c r="G11" s="20">
        <f t="shared" si="0"/>
        <v>8.2125000000000004E-2</v>
      </c>
      <c r="H11" s="20">
        <f t="shared" si="1"/>
        <v>8.2125000000000004E-2</v>
      </c>
      <c r="I11" s="21">
        <f t="shared" si="2"/>
        <v>43143.547500000001</v>
      </c>
    </row>
    <row r="12" spans="1:9" x14ac:dyDescent="0.35">
      <c r="A12" s="17">
        <v>44449</v>
      </c>
      <c r="B12">
        <v>8.3000000000000004E-2</v>
      </c>
      <c r="C12">
        <v>8.4000000000000005E-2</v>
      </c>
      <c r="D12">
        <v>8.09E-2</v>
      </c>
      <c r="E12">
        <v>8.1000000000000003E-2</v>
      </c>
      <c r="F12">
        <v>1075978</v>
      </c>
      <c r="G12" s="20">
        <f t="shared" si="0"/>
        <v>8.2225000000000006E-2</v>
      </c>
      <c r="H12" s="20">
        <f t="shared" si="1"/>
        <v>8.2225000000000006E-2</v>
      </c>
      <c r="I12" s="21">
        <f t="shared" si="2"/>
        <v>88472.29105</v>
      </c>
    </row>
    <row r="13" spans="1:9" x14ac:dyDescent="0.35">
      <c r="A13" s="17">
        <v>44450</v>
      </c>
      <c r="B13">
        <v>8.4000000000000005E-2</v>
      </c>
      <c r="C13">
        <v>8.4000000000000005E-2</v>
      </c>
      <c r="D13">
        <v>8.09E-2</v>
      </c>
      <c r="E13">
        <v>8.3400000000000002E-2</v>
      </c>
      <c r="F13">
        <v>314744</v>
      </c>
      <c r="G13" s="20">
        <f t="shared" si="0"/>
        <v>8.307500000000001E-2</v>
      </c>
      <c r="H13" s="20">
        <f t="shared" si="1"/>
        <v>8.307500000000001E-2</v>
      </c>
      <c r="I13" s="21">
        <f t="shared" si="2"/>
        <v>26147.357800000002</v>
      </c>
    </row>
    <row r="14" spans="1:9" x14ac:dyDescent="0.35">
      <c r="A14" s="17">
        <v>44453</v>
      </c>
      <c r="B14">
        <v>8.4000000000000005E-2</v>
      </c>
      <c r="C14">
        <v>8.5000000000000006E-2</v>
      </c>
      <c r="D14">
        <v>8.0799999999999997E-2</v>
      </c>
      <c r="E14">
        <v>8.4900000000000003E-2</v>
      </c>
      <c r="F14">
        <v>1753014</v>
      </c>
      <c r="G14" s="20">
        <f t="shared" si="0"/>
        <v>8.3674999999999999E-2</v>
      </c>
      <c r="H14" s="20">
        <f t="shared" si="1"/>
        <v>8.3674999999999999E-2</v>
      </c>
      <c r="I14" s="21">
        <f t="shared" si="2"/>
        <v>146683.44644999999</v>
      </c>
    </row>
    <row r="15" spans="1:9" x14ac:dyDescent="0.35">
      <c r="A15" s="17">
        <v>44454</v>
      </c>
      <c r="B15">
        <v>8.3000000000000004E-2</v>
      </c>
      <c r="C15">
        <v>8.4900000000000003E-2</v>
      </c>
      <c r="D15">
        <v>8.2000000000000003E-2</v>
      </c>
      <c r="E15">
        <v>8.2799999999999999E-2</v>
      </c>
      <c r="F15">
        <v>1442660</v>
      </c>
      <c r="G15" s="20">
        <f t="shared" si="0"/>
        <v>8.3174999999999999E-2</v>
      </c>
      <c r="H15" s="20">
        <f t="shared" si="1"/>
        <v>8.3174999999999999E-2</v>
      </c>
      <c r="I15" s="21">
        <f t="shared" si="2"/>
        <v>119993.2455</v>
      </c>
    </row>
    <row r="16" spans="1:9" x14ac:dyDescent="0.35">
      <c r="A16" s="17">
        <v>44455</v>
      </c>
      <c r="B16">
        <v>8.4900000000000003E-2</v>
      </c>
      <c r="C16">
        <v>8.4900000000000003E-2</v>
      </c>
      <c r="D16">
        <v>8.1000000000000003E-2</v>
      </c>
      <c r="E16">
        <v>8.2799999999999999E-2</v>
      </c>
      <c r="F16">
        <v>553918</v>
      </c>
      <c r="G16" s="20">
        <f t="shared" si="0"/>
        <v>8.3400000000000002E-2</v>
      </c>
      <c r="H16" s="20">
        <f t="shared" si="1"/>
        <v>8.3400000000000002E-2</v>
      </c>
      <c r="I16" s="21">
        <f t="shared" si="2"/>
        <v>46196.761200000001</v>
      </c>
    </row>
    <row r="17" spans="1:9" x14ac:dyDescent="0.35">
      <c r="A17" s="17">
        <v>44456</v>
      </c>
      <c r="B17">
        <v>8.1000000000000003E-2</v>
      </c>
      <c r="C17">
        <v>8.5000000000000006E-2</v>
      </c>
      <c r="D17">
        <v>8.1000000000000003E-2</v>
      </c>
      <c r="E17">
        <v>8.3799999999999999E-2</v>
      </c>
      <c r="F17">
        <v>1139794</v>
      </c>
      <c r="G17" s="20">
        <f t="shared" si="0"/>
        <v>8.2699999999999996E-2</v>
      </c>
      <c r="H17" s="20">
        <f t="shared" si="1"/>
        <v>8.2699999999999996E-2</v>
      </c>
      <c r="I17" s="21">
        <f t="shared" si="2"/>
        <v>94260.963799999998</v>
      </c>
    </row>
    <row r="18" spans="1:9" x14ac:dyDescent="0.35">
      <c r="A18" s="17">
        <v>44457</v>
      </c>
      <c r="B18">
        <v>8.4900000000000003E-2</v>
      </c>
      <c r="C18">
        <v>8.6499999999999994E-2</v>
      </c>
      <c r="D18">
        <v>8.2000000000000003E-2</v>
      </c>
      <c r="E18">
        <v>8.6099999999999996E-2</v>
      </c>
      <c r="F18">
        <v>1923233</v>
      </c>
      <c r="G18" s="20">
        <f t="shared" si="0"/>
        <v>8.4875000000000006E-2</v>
      </c>
      <c r="H18" s="20">
        <f t="shared" si="1"/>
        <v>8.4875000000000006E-2</v>
      </c>
      <c r="I18" s="21">
        <f t="shared" si="2"/>
        <v>163234.40087500002</v>
      </c>
    </row>
    <row r="19" spans="1:9" x14ac:dyDescent="0.35">
      <c r="A19" s="17">
        <v>44460</v>
      </c>
      <c r="B19">
        <v>8.4000000000000005E-2</v>
      </c>
      <c r="C19">
        <v>9.0999999999999998E-2</v>
      </c>
      <c r="D19">
        <v>8.4000000000000005E-2</v>
      </c>
      <c r="E19">
        <v>9.0999999999999998E-2</v>
      </c>
      <c r="F19">
        <v>1612554</v>
      </c>
      <c r="G19" s="20">
        <f t="shared" si="0"/>
        <v>8.7499999999999981E-2</v>
      </c>
      <c r="H19" s="20">
        <f t="shared" si="1"/>
        <v>8.7499999999999994E-2</v>
      </c>
      <c r="I19" s="21">
        <f t="shared" si="2"/>
        <v>141098.47499999998</v>
      </c>
    </row>
    <row r="20" spans="1:9" x14ac:dyDescent="0.35">
      <c r="A20" s="17">
        <v>44461</v>
      </c>
      <c r="B20">
        <v>9.5600000000000004E-2</v>
      </c>
      <c r="C20">
        <v>9.6000000000000002E-2</v>
      </c>
      <c r="D20">
        <v>8.2000000000000003E-2</v>
      </c>
      <c r="E20">
        <v>8.6499999999999994E-2</v>
      </c>
      <c r="F20">
        <v>1174344</v>
      </c>
      <c r="G20" s="20">
        <f t="shared" si="0"/>
        <v>9.0024999999999994E-2</v>
      </c>
      <c r="H20" s="20">
        <f t="shared" si="1"/>
        <v>9.0024999999999994E-2</v>
      </c>
      <c r="I20" s="21">
        <f t="shared" si="2"/>
        <v>105720.3186</v>
      </c>
    </row>
    <row r="21" spans="1:9" x14ac:dyDescent="0.35">
      <c r="A21" s="17">
        <v>44462</v>
      </c>
      <c r="B21">
        <v>8.6999999999999994E-2</v>
      </c>
      <c r="C21">
        <v>0.1124</v>
      </c>
      <c r="D21">
        <v>8.3000000000000004E-2</v>
      </c>
      <c r="E21">
        <v>0.1075</v>
      </c>
      <c r="F21">
        <v>1872357</v>
      </c>
      <c r="G21" s="20">
        <f t="shared" si="0"/>
        <v>9.7474999999999992E-2</v>
      </c>
      <c r="H21" s="20">
        <f t="shared" si="1"/>
        <v>9.7474999999999992E-2</v>
      </c>
      <c r="I21" s="21">
        <f t="shared" si="2"/>
        <v>182507.99857499998</v>
      </c>
    </row>
    <row r="22" spans="1:9" x14ac:dyDescent="0.35">
      <c r="A22" s="17">
        <v>44463</v>
      </c>
      <c r="B22">
        <v>0.112</v>
      </c>
      <c r="C22">
        <v>0.13500000000000001</v>
      </c>
      <c r="D22">
        <v>9.5000000000000001E-2</v>
      </c>
      <c r="E22">
        <v>0.1072</v>
      </c>
      <c r="F22">
        <v>5530727</v>
      </c>
      <c r="G22" s="20">
        <f t="shared" si="0"/>
        <v>0.11229999999999998</v>
      </c>
      <c r="H22" s="20">
        <f t="shared" si="1"/>
        <v>0.1123</v>
      </c>
      <c r="I22" s="21">
        <f t="shared" si="2"/>
        <v>621100.64209999994</v>
      </c>
    </row>
    <row r="23" spans="1:9" x14ac:dyDescent="0.35">
      <c r="A23" s="17">
        <v>44464</v>
      </c>
      <c r="B23">
        <v>0.1139</v>
      </c>
      <c r="C23">
        <v>0.1139</v>
      </c>
      <c r="D23">
        <v>9.2999999999999999E-2</v>
      </c>
      <c r="E23">
        <v>0.1037</v>
      </c>
      <c r="F23">
        <v>2071904</v>
      </c>
      <c r="G23" s="20">
        <f t="shared" si="0"/>
        <v>0.106125</v>
      </c>
      <c r="H23" s="20">
        <f t="shared" si="1"/>
        <v>0.106125</v>
      </c>
      <c r="I23" s="21">
        <f t="shared" si="2"/>
        <v>219880.81200000001</v>
      </c>
    </row>
    <row r="24" spans="1:9" x14ac:dyDescent="0.35">
      <c r="A24" s="17">
        <v>44467</v>
      </c>
      <c r="B24">
        <v>9.5000000000000001E-2</v>
      </c>
      <c r="C24">
        <v>0.10349999999999999</v>
      </c>
      <c r="D24">
        <v>9.0899999999999995E-2</v>
      </c>
      <c r="E24">
        <v>9.4E-2</v>
      </c>
      <c r="F24">
        <v>1882330</v>
      </c>
      <c r="G24" s="20">
        <f t="shared" si="0"/>
        <v>9.5849999999999991E-2</v>
      </c>
      <c r="H24" s="20">
        <f t="shared" si="1"/>
        <v>9.5849999999999991E-2</v>
      </c>
      <c r="I24" s="21">
        <f t="shared" si="2"/>
        <v>180421.33049999998</v>
      </c>
    </row>
    <row r="25" spans="1:9" x14ac:dyDescent="0.35">
      <c r="A25" s="17">
        <v>44468</v>
      </c>
      <c r="B25">
        <v>9.1499999999999998E-2</v>
      </c>
      <c r="C25">
        <v>9.2499999999999999E-2</v>
      </c>
      <c r="D25">
        <v>8.4699999999999998E-2</v>
      </c>
      <c r="E25">
        <v>9.2499999999999999E-2</v>
      </c>
      <c r="F25">
        <v>2113003</v>
      </c>
      <c r="G25" s="20">
        <f t="shared" si="0"/>
        <v>9.0299999999999991E-2</v>
      </c>
      <c r="H25" s="20">
        <f t="shared" si="1"/>
        <v>9.0299999999999991E-2</v>
      </c>
      <c r="I25" s="21">
        <f t="shared" si="2"/>
        <v>190804.17089999997</v>
      </c>
    </row>
    <row r="26" spans="1:9" x14ac:dyDescent="0.35">
      <c r="A26" s="17">
        <v>44469</v>
      </c>
      <c r="B26">
        <v>8.2799999999999999E-2</v>
      </c>
      <c r="C26">
        <v>9.2499999999999999E-2</v>
      </c>
      <c r="D26">
        <v>8.2799999999999999E-2</v>
      </c>
      <c r="E26">
        <v>8.9800000000000005E-2</v>
      </c>
      <c r="F26">
        <v>569326</v>
      </c>
      <c r="G26" s="20">
        <f t="shared" si="0"/>
        <v>8.6974999999999997E-2</v>
      </c>
      <c r="H26" s="20">
        <f t="shared" si="1"/>
        <v>8.6974999999999997E-2</v>
      </c>
      <c r="I26" s="21">
        <f t="shared" si="2"/>
        <v>49517.128850000001</v>
      </c>
    </row>
    <row r="27" spans="1:9" x14ac:dyDescent="0.35">
      <c r="A27" s="17">
        <v>44470</v>
      </c>
      <c r="B27">
        <v>9.5399999999999999E-2</v>
      </c>
      <c r="C27">
        <v>9.5399999999999999E-2</v>
      </c>
      <c r="D27">
        <v>8.5500000000000007E-2</v>
      </c>
      <c r="E27">
        <v>9.01E-2</v>
      </c>
      <c r="F27">
        <v>867052</v>
      </c>
      <c r="G27" s="20">
        <f t="shared" si="0"/>
        <v>9.1600000000000001E-2</v>
      </c>
      <c r="H27" s="20">
        <f t="shared" si="1"/>
        <v>9.1600000000000001E-2</v>
      </c>
      <c r="I27" s="21">
        <f t="shared" si="2"/>
        <v>79421.963199999998</v>
      </c>
    </row>
    <row r="28" spans="1:9" x14ac:dyDescent="0.35">
      <c r="A28" s="17">
        <v>44471</v>
      </c>
      <c r="B28">
        <v>9.0999999999999998E-2</v>
      </c>
      <c r="C28">
        <v>9.0999999999999998E-2</v>
      </c>
      <c r="D28">
        <v>8.6999999999999994E-2</v>
      </c>
      <c r="E28">
        <v>8.8999999999999996E-2</v>
      </c>
      <c r="F28">
        <v>1151246</v>
      </c>
      <c r="G28" s="20">
        <f t="shared" si="0"/>
        <v>8.9499999999999996E-2</v>
      </c>
      <c r="H28" s="20">
        <f t="shared" si="1"/>
        <v>8.9499999999999996E-2</v>
      </c>
      <c r="I28" s="21">
        <f t="shared" si="2"/>
        <v>103036.51699999999</v>
      </c>
    </row>
    <row r="29" spans="1:9" x14ac:dyDescent="0.35">
      <c r="A29" s="17">
        <v>44474</v>
      </c>
      <c r="B29">
        <v>9.2600000000000002E-2</v>
      </c>
      <c r="C29">
        <v>9.6799999999999997E-2</v>
      </c>
      <c r="D29">
        <v>9.0499999999999997E-2</v>
      </c>
      <c r="E29">
        <v>9.64E-2</v>
      </c>
      <c r="F29">
        <v>950892</v>
      </c>
      <c r="G29" s="20">
        <f t="shared" si="0"/>
        <v>9.4075000000000006E-2</v>
      </c>
      <c r="H29" s="20">
        <f t="shared" si="1"/>
        <v>9.4075000000000006E-2</v>
      </c>
      <c r="I29" s="21">
        <f t="shared" si="2"/>
        <v>89455.164900000003</v>
      </c>
    </row>
    <row r="30" spans="1:9" x14ac:dyDescent="0.35">
      <c r="A30" s="17">
        <v>44475</v>
      </c>
      <c r="B30">
        <v>9.69E-2</v>
      </c>
      <c r="C30">
        <v>0.1</v>
      </c>
      <c r="D30">
        <v>9.0999999999999998E-2</v>
      </c>
      <c r="E30">
        <v>0.1</v>
      </c>
      <c r="F30">
        <v>2140742</v>
      </c>
      <c r="G30" s="20">
        <f t="shared" si="0"/>
        <v>9.6975000000000006E-2</v>
      </c>
      <c r="H30" s="20">
        <f t="shared" si="1"/>
        <v>9.6975000000000006E-2</v>
      </c>
      <c r="I30" s="21">
        <f t="shared" si="2"/>
        <v>207598.45545000001</v>
      </c>
    </row>
    <row r="31" spans="1:9" x14ac:dyDescent="0.35">
      <c r="A31" s="17">
        <v>44476</v>
      </c>
      <c r="B31">
        <v>9.1999999999999998E-2</v>
      </c>
      <c r="C31">
        <v>9.9000000000000005E-2</v>
      </c>
      <c r="D31">
        <v>9.1999999999999998E-2</v>
      </c>
      <c r="E31">
        <v>9.7000000000000003E-2</v>
      </c>
      <c r="F31">
        <v>1131117</v>
      </c>
      <c r="G31" s="20">
        <f t="shared" si="0"/>
        <v>9.5000000000000001E-2</v>
      </c>
      <c r="H31" s="20">
        <f t="shared" si="1"/>
        <v>9.5000000000000001E-2</v>
      </c>
      <c r="I31" s="21">
        <f t="shared" si="2"/>
        <v>107456.11500000001</v>
      </c>
    </row>
    <row r="32" spans="1:9" x14ac:dyDescent="0.35">
      <c r="A32" s="17">
        <v>44477</v>
      </c>
      <c r="B32">
        <v>9.5500000000000002E-2</v>
      </c>
      <c r="C32">
        <v>9.9000000000000005E-2</v>
      </c>
      <c r="D32">
        <v>9.0499999999999997E-2</v>
      </c>
      <c r="E32">
        <v>9.6299999999999997E-2</v>
      </c>
      <c r="F32">
        <v>726806</v>
      </c>
      <c r="G32" s="20">
        <f t="shared" si="0"/>
        <v>9.5325000000000007E-2</v>
      </c>
      <c r="H32" s="20">
        <f t="shared" si="1"/>
        <v>9.5325000000000007E-2</v>
      </c>
      <c r="I32" s="21">
        <f t="shared" si="2"/>
        <v>69282.781950000004</v>
      </c>
    </row>
    <row r="33" spans="1:9" x14ac:dyDescent="0.35">
      <c r="A33" s="17">
        <v>44478</v>
      </c>
      <c r="B33">
        <v>9.7799999999999998E-2</v>
      </c>
      <c r="C33">
        <v>9.7799999999999998E-2</v>
      </c>
      <c r="D33">
        <v>9.0499999999999997E-2</v>
      </c>
      <c r="E33">
        <v>9.1499999999999998E-2</v>
      </c>
      <c r="F33">
        <v>511580</v>
      </c>
      <c r="G33" s="20">
        <f t="shared" si="0"/>
        <v>9.4400000000000012E-2</v>
      </c>
      <c r="H33" s="20">
        <f t="shared" si="1"/>
        <v>9.4400000000000012E-2</v>
      </c>
      <c r="I33" s="21">
        <f t="shared" si="2"/>
        <v>48293.152000000009</v>
      </c>
    </row>
    <row r="34" spans="1:9" x14ac:dyDescent="0.35">
      <c r="A34" s="17">
        <v>44481</v>
      </c>
      <c r="B34">
        <v>9.2499999999999999E-2</v>
      </c>
      <c r="C34">
        <v>9.2499999999999999E-2</v>
      </c>
      <c r="D34">
        <v>8.8200000000000001E-2</v>
      </c>
      <c r="E34">
        <v>9.1499999999999998E-2</v>
      </c>
      <c r="F34">
        <v>1033856</v>
      </c>
      <c r="G34" s="20">
        <f t="shared" si="0"/>
        <v>9.1175000000000006E-2</v>
      </c>
      <c r="H34" s="20">
        <f t="shared" si="1"/>
        <v>9.1175000000000006E-2</v>
      </c>
      <c r="I34" s="21">
        <f t="shared" si="2"/>
        <v>94261.820800000001</v>
      </c>
    </row>
    <row r="35" spans="1:9" x14ac:dyDescent="0.35">
      <c r="A35" s="17">
        <v>44482</v>
      </c>
      <c r="B35">
        <v>9.2499999999999999E-2</v>
      </c>
      <c r="C35">
        <v>9.8599999999999993E-2</v>
      </c>
      <c r="D35">
        <v>8.6999999999999994E-2</v>
      </c>
      <c r="E35">
        <v>9.0399999999999994E-2</v>
      </c>
      <c r="F35">
        <v>1268384</v>
      </c>
      <c r="G35" s="20">
        <f t="shared" si="0"/>
        <v>9.2124999999999999E-2</v>
      </c>
      <c r="H35" s="20">
        <f t="shared" si="1"/>
        <v>9.2124999999999999E-2</v>
      </c>
      <c r="I35" s="21">
        <f t="shared" si="2"/>
        <v>116849.876</v>
      </c>
    </row>
    <row r="36" spans="1:9" x14ac:dyDescent="0.35">
      <c r="A36" s="17">
        <v>44483</v>
      </c>
      <c r="B36">
        <v>9.0399999999999994E-2</v>
      </c>
      <c r="C36">
        <v>9.0899999999999995E-2</v>
      </c>
      <c r="D36">
        <v>8.8300000000000003E-2</v>
      </c>
      <c r="E36">
        <v>8.9499999999999996E-2</v>
      </c>
      <c r="F36">
        <v>703321</v>
      </c>
      <c r="G36" s="20">
        <f t="shared" si="0"/>
        <v>8.9774999999999994E-2</v>
      </c>
      <c r="H36" s="20">
        <f t="shared" si="1"/>
        <v>8.9774999999999994E-2</v>
      </c>
      <c r="I36" s="21">
        <f t="shared" si="2"/>
        <v>63140.642774999993</v>
      </c>
    </row>
    <row r="37" spans="1:9" x14ac:dyDescent="0.35">
      <c r="A37" s="17">
        <v>44484</v>
      </c>
      <c r="B37">
        <v>8.8300000000000003E-2</v>
      </c>
      <c r="C37">
        <v>9.2399999999999996E-2</v>
      </c>
      <c r="D37">
        <v>8.8099999999999998E-2</v>
      </c>
      <c r="E37">
        <v>9.0999999999999998E-2</v>
      </c>
      <c r="F37">
        <v>439970</v>
      </c>
      <c r="G37" s="20">
        <f t="shared" si="0"/>
        <v>8.9950000000000002E-2</v>
      </c>
      <c r="H37" s="20">
        <f t="shared" si="1"/>
        <v>8.9950000000000002E-2</v>
      </c>
      <c r="I37" s="21">
        <f t="shared" si="2"/>
        <v>39575.301500000001</v>
      </c>
    </row>
    <row r="38" spans="1:9" x14ac:dyDescent="0.35">
      <c r="A38" s="17">
        <v>44485</v>
      </c>
      <c r="B38">
        <v>9.2499999999999999E-2</v>
      </c>
      <c r="C38">
        <v>9.5600000000000004E-2</v>
      </c>
      <c r="D38">
        <v>8.7999999999999995E-2</v>
      </c>
      <c r="E38">
        <v>0.09</v>
      </c>
      <c r="F38">
        <v>811145</v>
      </c>
      <c r="G38" s="20">
        <f t="shared" si="0"/>
        <v>9.1524999999999995E-2</v>
      </c>
      <c r="H38" s="20">
        <f t="shared" si="1"/>
        <v>9.1524999999999995E-2</v>
      </c>
      <c r="I38" s="21">
        <f t="shared" si="2"/>
        <v>74240.046124999993</v>
      </c>
    </row>
    <row r="39" spans="1:9" x14ac:dyDescent="0.35">
      <c r="A39" s="17">
        <v>44488</v>
      </c>
      <c r="B39">
        <v>9.01E-2</v>
      </c>
      <c r="C39">
        <v>9.9099999999999994E-2</v>
      </c>
      <c r="D39">
        <v>8.72E-2</v>
      </c>
      <c r="E39">
        <v>8.9099999999999999E-2</v>
      </c>
      <c r="F39">
        <v>1240812</v>
      </c>
      <c r="G39" s="20">
        <f t="shared" si="0"/>
        <v>9.1374999999999998E-2</v>
      </c>
      <c r="H39" s="20">
        <f t="shared" si="1"/>
        <v>9.1374999999999998E-2</v>
      </c>
      <c r="I39" s="21">
        <f t="shared" si="2"/>
        <v>113379.19649999999</v>
      </c>
    </row>
    <row r="40" spans="1:9" x14ac:dyDescent="0.35">
      <c r="A40" s="17">
        <v>44489</v>
      </c>
      <c r="B40">
        <v>9.0499999999999997E-2</v>
      </c>
      <c r="C40">
        <v>9.0499999999999997E-2</v>
      </c>
      <c r="D40">
        <v>8.7400000000000005E-2</v>
      </c>
      <c r="E40">
        <v>0.09</v>
      </c>
      <c r="F40">
        <v>965782</v>
      </c>
      <c r="G40" s="20">
        <f t="shared" si="0"/>
        <v>8.9599999999999985E-2</v>
      </c>
      <c r="H40" s="20">
        <f t="shared" si="1"/>
        <v>8.9599999999999985E-2</v>
      </c>
      <c r="I40" s="21">
        <f t="shared" si="2"/>
        <v>86534.06719999999</v>
      </c>
    </row>
    <row r="41" spans="1:9" x14ac:dyDescent="0.35">
      <c r="A41" s="17">
        <v>44490</v>
      </c>
      <c r="B41">
        <v>8.72E-2</v>
      </c>
      <c r="C41">
        <v>9.4E-2</v>
      </c>
      <c r="D41">
        <v>8.72E-2</v>
      </c>
      <c r="E41">
        <v>9.11E-2</v>
      </c>
      <c r="F41">
        <v>717954</v>
      </c>
      <c r="G41" s="20">
        <f t="shared" si="0"/>
        <v>8.9874999999999997E-2</v>
      </c>
      <c r="H41" s="20">
        <f t="shared" si="1"/>
        <v>8.9874999999999997E-2</v>
      </c>
      <c r="I41" s="21">
        <f t="shared" si="2"/>
        <v>64526.115749999997</v>
      </c>
    </row>
    <row r="42" spans="1:9" x14ac:dyDescent="0.35">
      <c r="A42" s="17">
        <v>44491</v>
      </c>
      <c r="B42">
        <v>9.64E-2</v>
      </c>
      <c r="C42">
        <v>9.64E-2</v>
      </c>
      <c r="D42">
        <v>8.7999999999999995E-2</v>
      </c>
      <c r="E42">
        <v>8.9899999999999994E-2</v>
      </c>
      <c r="F42">
        <v>754246</v>
      </c>
      <c r="G42" s="20">
        <f t="shared" si="0"/>
        <v>9.2674999999999993E-2</v>
      </c>
      <c r="H42" s="20">
        <f t="shared" si="1"/>
        <v>9.2674999999999993E-2</v>
      </c>
      <c r="I42" s="21">
        <f t="shared" si="2"/>
        <v>69899.748049999995</v>
      </c>
    </row>
    <row r="43" spans="1:9" x14ac:dyDescent="0.35">
      <c r="A43" s="17">
        <v>44492</v>
      </c>
      <c r="B43">
        <v>8.9700000000000002E-2</v>
      </c>
      <c r="C43">
        <v>9.01E-2</v>
      </c>
      <c r="D43">
        <v>8.9499999999999996E-2</v>
      </c>
      <c r="E43">
        <v>8.9899999999999994E-2</v>
      </c>
      <c r="F43">
        <v>673976</v>
      </c>
      <c r="G43" s="20">
        <f t="shared" si="0"/>
        <v>8.9799999999999991E-2</v>
      </c>
      <c r="H43" s="20">
        <f t="shared" si="1"/>
        <v>8.9799999999999991E-2</v>
      </c>
      <c r="I43" s="21">
        <f t="shared" si="2"/>
        <v>60523.044799999996</v>
      </c>
    </row>
    <row r="44" spans="1:9" x14ac:dyDescent="0.35">
      <c r="A44" s="17">
        <v>44495</v>
      </c>
      <c r="B44">
        <v>8.9499999999999996E-2</v>
      </c>
      <c r="C44">
        <v>9.0499999999999997E-2</v>
      </c>
      <c r="D44">
        <v>8.7999999999999995E-2</v>
      </c>
      <c r="E44">
        <v>0.09</v>
      </c>
      <c r="F44">
        <v>638773</v>
      </c>
      <c r="G44" s="20">
        <f t="shared" si="0"/>
        <v>8.9499999999999996E-2</v>
      </c>
      <c r="H44" s="20">
        <f t="shared" si="1"/>
        <v>8.9499999999999996E-2</v>
      </c>
      <c r="I44" s="21">
        <f t="shared" si="2"/>
        <v>57170.183499999999</v>
      </c>
    </row>
    <row r="45" spans="1:9" x14ac:dyDescent="0.35">
      <c r="A45" s="17">
        <v>44496</v>
      </c>
      <c r="B45">
        <v>0.09</v>
      </c>
      <c r="C45">
        <v>0.09</v>
      </c>
      <c r="D45">
        <v>8.6999999999999994E-2</v>
      </c>
      <c r="E45">
        <v>8.8099999999999998E-2</v>
      </c>
      <c r="F45">
        <v>579430</v>
      </c>
      <c r="G45" s="20">
        <f t="shared" si="0"/>
        <v>8.8775000000000007E-2</v>
      </c>
      <c r="H45" s="20">
        <f t="shared" si="1"/>
        <v>8.8775000000000007E-2</v>
      </c>
      <c r="I45" s="21">
        <f t="shared" si="2"/>
        <v>51438.898250000006</v>
      </c>
    </row>
    <row r="46" spans="1:9" x14ac:dyDescent="0.35">
      <c r="A46" s="17">
        <v>44497</v>
      </c>
      <c r="B46">
        <v>8.7499999999999994E-2</v>
      </c>
      <c r="C46">
        <v>8.7499999999999994E-2</v>
      </c>
      <c r="D46">
        <v>8.6800000000000002E-2</v>
      </c>
      <c r="E46">
        <v>8.72E-2</v>
      </c>
      <c r="F46">
        <v>396689</v>
      </c>
      <c r="G46" s="20">
        <f t="shared" si="0"/>
        <v>8.7249999999999994E-2</v>
      </c>
      <c r="H46" s="20">
        <f t="shared" si="1"/>
        <v>8.7249999999999994E-2</v>
      </c>
      <c r="I46" s="21">
        <f t="shared" si="2"/>
        <v>34611.115249999995</v>
      </c>
    </row>
    <row r="47" spans="1:9" x14ac:dyDescent="0.35">
      <c r="A47" s="17">
        <v>44498</v>
      </c>
      <c r="B47">
        <v>0.09</v>
      </c>
      <c r="C47">
        <v>0.09</v>
      </c>
      <c r="D47">
        <v>8.6499999999999994E-2</v>
      </c>
      <c r="E47">
        <v>8.72E-2</v>
      </c>
      <c r="F47">
        <v>991753</v>
      </c>
      <c r="G47" s="20">
        <f t="shared" si="0"/>
        <v>8.842499999999999E-2</v>
      </c>
      <c r="H47" s="20">
        <f t="shared" si="1"/>
        <v>8.842499999999999E-2</v>
      </c>
      <c r="I47" s="21">
        <f t="shared" si="2"/>
        <v>87695.759024999992</v>
      </c>
    </row>
    <row r="48" spans="1:9" x14ac:dyDescent="0.35">
      <c r="A48" s="17">
        <v>44499</v>
      </c>
      <c r="B48">
        <v>0.09</v>
      </c>
      <c r="C48">
        <v>0.09</v>
      </c>
      <c r="D48">
        <v>8.5400000000000004E-2</v>
      </c>
      <c r="E48">
        <v>8.7499999999999994E-2</v>
      </c>
      <c r="F48">
        <v>310690</v>
      </c>
      <c r="G48" s="20">
        <f t="shared" si="0"/>
        <v>8.8224999999999998E-2</v>
      </c>
      <c r="H48" s="20">
        <f t="shared" si="1"/>
        <v>8.8224999999999998E-2</v>
      </c>
      <c r="I48" s="21">
        <f t="shared" si="2"/>
        <v>27410.625250000001</v>
      </c>
    </row>
    <row r="49" spans="1:9" x14ac:dyDescent="0.35">
      <c r="A49" s="17">
        <v>44502</v>
      </c>
      <c r="B49">
        <v>8.7599999999999997E-2</v>
      </c>
      <c r="C49">
        <v>9.2799999999999994E-2</v>
      </c>
      <c r="D49">
        <v>8.5000000000000006E-2</v>
      </c>
      <c r="E49">
        <v>8.7800000000000003E-2</v>
      </c>
      <c r="F49">
        <v>1743652</v>
      </c>
      <c r="G49" s="20">
        <f t="shared" si="0"/>
        <v>8.8300000000000017E-2</v>
      </c>
      <c r="H49" s="20">
        <f t="shared" si="1"/>
        <v>8.8300000000000003E-2</v>
      </c>
      <c r="I49" s="21">
        <f t="shared" si="2"/>
        <v>153964.47160000002</v>
      </c>
    </row>
    <row r="50" spans="1:9" x14ac:dyDescent="0.35">
      <c r="A50" s="17">
        <v>44503</v>
      </c>
      <c r="B50">
        <v>8.7499999999999994E-2</v>
      </c>
      <c r="C50">
        <v>8.7999999999999995E-2</v>
      </c>
      <c r="D50">
        <v>8.2500000000000004E-2</v>
      </c>
      <c r="E50">
        <v>8.72E-2</v>
      </c>
      <c r="F50">
        <v>873150</v>
      </c>
      <c r="G50" s="20">
        <f t="shared" si="0"/>
        <v>8.6300000000000002E-2</v>
      </c>
      <c r="H50" s="20">
        <f t="shared" si="1"/>
        <v>8.6300000000000002E-2</v>
      </c>
      <c r="I50" s="21">
        <f t="shared" si="2"/>
        <v>75352.845000000001</v>
      </c>
    </row>
    <row r="51" spans="1:9" x14ac:dyDescent="0.35">
      <c r="A51" s="17">
        <v>44504</v>
      </c>
      <c r="B51">
        <v>8.7499999999999994E-2</v>
      </c>
      <c r="C51">
        <v>8.7499999999999994E-2</v>
      </c>
      <c r="D51">
        <v>8.5099999999999995E-2</v>
      </c>
      <c r="E51">
        <v>8.6900000000000005E-2</v>
      </c>
      <c r="F51">
        <v>501599</v>
      </c>
      <c r="G51" s="20">
        <f t="shared" si="0"/>
        <v>8.6749999999999994E-2</v>
      </c>
      <c r="H51" s="20">
        <f t="shared" si="1"/>
        <v>8.6749999999999994E-2</v>
      </c>
      <c r="I51" s="21">
        <f t="shared" si="2"/>
        <v>43513.713249999993</v>
      </c>
    </row>
    <row r="52" spans="1:9" x14ac:dyDescent="0.35">
      <c r="A52" s="17">
        <v>44505</v>
      </c>
      <c r="B52">
        <v>8.7499999999999994E-2</v>
      </c>
      <c r="C52">
        <v>0.09</v>
      </c>
      <c r="D52">
        <v>8.5099999999999995E-2</v>
      </c>
      <c r="E52">
        <v>8.8599999999999998E-2</v>
      </c>
      <c r="F52">
        <v>1417268</v>
      </c>
      <c r="G52" s="20">
        <f t="shared" si="0"/>
        <v>8.7800000000000003E-2</v>
      </c>
      <c r="H52" s="20">
        <f t="shared" si="1"/>
        <v>8.7800000000000003E-2</v>
      </c>
      <c r="I52" s="21">
        <f t="shared" si="2"/>
        <v>124436.13040000001</v>
      </c>
    </row>
    <row r="53" spans="1:9" x14ac:dyDescent="0.35">
      <c r="A53" s="17">
        <v>44506</v>
      </c>
      <c r="B53">
        <v>0.09</v>
      </c>
      <c r="C53">
        <v>9.35E-2</v>
      </c>
      <c r="D53">
        <v>8.5999999999999993E-2</v>
      </c>
      <c r="E53">
        <v>9.2399999999999996E-2</v>
      </c>
      <c r="F53">
        <v>825415</v>
      </c>
      <c r="G53" s="20">
        <f t="shared" si="0"/>
        <v>9.0474999999999986E-2</v>
      </c>
      <c r="H53" s="20">
        <f t="shared" si="1"/>
        <v>9.0474999999999986E-2</v>
      </c>
      <c r="I53" s="21">
        <f t="shared" si="2"/>
        <v>74679.422124999983</v>
      </c>
    </row>
    <row r="54" spans="1:9" x14ac:dyDescent="0.35">
      <c r="A54" s="17">
        <v>44509</v>
      </c>
      <c r="B54">
        <v>9.4200000000000006E-2</v>
      </c>
      <c r="C54">
        <v>9.4200000000000006E-2</v>
      </c>
      <c r="D54">
        <v>8.5999999999999993E-2</v>
      </c>
      <c r="E54">
        <v>8.9499999999999996E-2</v>
      </c>
      <c r="F54">
        <v>663389</v>
      </c>
      <c r="G54" s="20">
        <f t="shared" si="0"/>
        <v>9.0975E-2</v>
      </c>
      <c r="H54" s="20">
        <f t="shared" si="1"/>
        <v>9.0975E-2</v>
      </c>
      <c r="I54" s="21">
        <f t="shared" si="2"/>
        <v>60351.814274999997</v>
      </c>
    </row>
    <row r="55" spans="1:9" x14ac:dyDescent="0.35">
      <c r="A55" s="17">
        <v>44510</v>
      </c>
      <c r="B55">
        <v>8.3099999999999993E-2</v>
      </c>
      <c r="C55">
        <v>8.8999999999999996E-2</v>
      </c>
      <c r="D55">
        <v>8.3000000000000004E-2</v>
      </c>
      <c r="E55">
        <v>8.5199999999999998E-2</v>
      </c>
      <c r="F55">
        <v>864758</v>
      </c>
      <c r="G55" s="20">
        <f t="shared" si="0"/>
        <v>8.5074999999999998E-2</v>
      </c>
      <c r="H55" s="20">
        <f t="shared" si="1"/>
        <v>8.5074999999999998E-2</v>
      </c>
      <c r="I55" s="21">
        <f t="shared" si="2"/>
        <v>73569.286850000004</v>
      </c>
    </row>
    <row r="56" spans="1:9" x14ac:dyDescent="0.35">
      <c r="A56" s="17">
        <v>44511</v>
      </c>
      <c r="B56">
        <v>8.4000000000000005E-2</v>
      </c>
      <c r="C56">
        <v>9.3600000000000003E-2</v>
      </c>
      <c r="D56">
        <v>8.4000000000000005E-2</v>
      </c>
      <c r="E56">
        <v>8.9800000000000005E-2</v>
      </c>
      <c r="F56">
        <v>1417231</v>
      </c>
      <c r="G56" s="20">
        <f t="shared" si="0"/>
        <v>8.7849999999999998E-2</v>
      </c>
      <c r="H56" s="20">
        <f t="shared" si="1"/>
        <v>8.7849999999999998E-2</v>
      </c>
      <c r="I56" s="21">
        <f t="shared" si="2"/>
        <v>124503.74334999999</v>
      </c>
    </row>
    <row r="57" spans="1:9" x14ac:dyDescent="0.35">
      <c r="A57" s="17">
        <v>44512</v>
      </c>
      <c r="B57">
        <v>8.7499999999999994E-2</v>
      </c>
      <c r="C57">
        <v>8.7499999999999994E-2</v>
      </c>
      <c r="D57">
        <v>8.4000000000000005E-2</v>
      </c>
      <c r="E57">
        <v>8.6900000000000005E-2</v>
      </c>
      <c r="F57">
        <v>435900</v>
      </c>
      <c r="G57" s="20">
        <f t="shared" si="0"/>
        <v>8.6474999999999996E-2</v>
      </c>
      <c r="H57" s="20">
        <f t="shared" si="1"/>
        <v>8.6474999999999996E-2</v>
      </c>
      <c r="I57" s="21">
        <f t="shared" si="2"/>
        <v>37694.452499999999</v>
      </c>
    </row>
    <row r="58" spans="1:9" x14ac:dyDescent="0.35">
      <c r="A58" s="17">
        <v>44513</v>
      </c>
      <c r="B58">
        <v>8.5999999999999993E-2</v>
      </c>
      <c r="C58">
        <v>8.72E-2</v>
      </c>
      <c r="D58">
        <v>8.3000000000000004E-2</v>
      </c>
      <c r="E58">
        <v>8.3900000000000002E-2</v>
      </c>
      <c r="F58">
        <v>935221</v>
      </c>
      <c r="G58" s="20">
        <f t="shared" si="0"/>
        <v>8.5024999999999989E-2</v>
      </c>
      <c r="H58" s="20">
        <f t="shared" si="1"/>
        <v>8.5024999999999989E-2</v>
      </c>
      <c r="I58" s="21">
        <f t="shared" si="2"/>
        <v>79517.165524999989</v>
      </c>
    </row>
    <row r="59" spans="1:9" x14ac:dyDescent="0.35">
      <c r="A59" s="17">
        <v>44516</v>
      </c>
      <c r="B59">
        <v>9.1800000000000007E-2</v>
      </c>
      <c r="C59">
        <v>9.1800000000000007E-2</v>
      </c>
      <c r="D59">
        <v>8.3000000000000004E-2</v>
      </c>
      <c r="E59">
        <v>9.1700000000000004E-2</v>
      </c>
      <c r="F59">
        <v>1578618</v>
      </c>
      <c r="G59" s="20">
        <f t="shared" si="0"/>
        <v>8.9575000000000002E-2</v>
      </c>
      <c r="H59" s="20">
        <f t="shared" si="1"/>
        <v>8.9575000000000002E-2</v>
      </c>
      <c r="I59" s="21">
        <f t="shared" si="2"/>
        <v>141404.70735000001</v>
      </c>
    </row>
    <row r="60" spans="1:9" x14ac:dyDescent="0.35">
      <c r="A60" s="17">
        <v>44517</v>
      </c>
      <c r="B60">
        <v>9.1999999999999998E-2</v>
      </c>
      <c r="C60">
        <v>9.4E-2</v>
      </c>
      <c r="D60">
        <v>8.5000000000000006E-2</v>
      </c>
      <c r="E60">
        <v>8.5500000000000007E-2</v>
      </c>
      <c r="F60">
        <v>1242448</v>
      </c>
      <c r="G60" s="20">
        <f t="shared" si="0"/>
        <v>8.912500000000001E-2</v>
      </c>
      <c r="H60" s="20">
        <f t="shared" si="1"/>
        <v>8.912500000000001E-2</v>
      </c>
      <c r="I60" s="21">
        <f t="shared" si="2"/>
        <v>110733.17800000001</v>
      </c>
    </row>
    <row r="61" spans="1:9" x14ac:dyDescent="0.35">
      <c r="A61" s="17">
        <v>44518</v>
      </c>
      <c r="B61">
        <v>8.8999999999999996E-2</v>
      </c>
      <c r="C61">
        <v>8.8999999999999996E-2</v>
      </c>
      <c r="D61">
        <v>8.3099999999999993E-2</v>
      </c>
      <c r="E61">
        <v>8.4599999999999995E-2</v>
      </c>
      <c r="F61">
        <v>988921</v>
      </c>
      <c r="G61" s="20">
        <f t="shared" si="0"/>
        <v>8.6425000000000002E-2</v>
      </c>
      <c r="H61" s="20">
        <f t="shared" si="1"/>
        <v>8.6425000000000002E-2</v>
      </c>
      <c r="I61" s="21">
        <f t="shared" si="2"/>
        <v>85467.497425000009</v>
      </c>
    </row>
    <row r="62" spans="1:9" x14ac:dyDescent="0.35">
      <c r="A62" s="17">
        <v>44519</v>
      </c>
      <c r="B62">
        <v>0.09</v>
      </c>
      <c r="C62">
        <v>0.09</v>
      </c>
      <c r="D62">
        <v>8.3000000000000004E-2</v>
      </c>
      <c r="E62">
        <v>8.3900000000000002E-2</v>
      </c>
      <c r="F62">
        <v>604118</v>
      </c>
      <c r="G62" s="20">
        <f t="shared" si="0"/>
        <v>8.6724999999999997E-2</v>
      </c>
      <c r="H62" s="20">
        <f t="shared" si="1"/>
        <v>8.6724999999999997E-2</v>
      </c>
      <c r="I62" s="21">
        <f t="shared" si="2"/>
        <v>52392.133549999999</v>
      </c>
    </row>
    <row r="63" spans="1:9" x14ac:dyDescent="0.35">
      <c r="A63" s="17">
        <v>44520</v>
      </c>
      <c r="B63">
        <v>8.5000000000000006E-2</v>
      </c>
      <c r="C63">
        <v>8.5000000000000006E-2</v>
      </c>
      <c r="D63">
        <v>8.2600000000000007E-2</v>
      </c>
      <c r="E63">
        <v>8.5000000000000006E-2</v>
      </c>
      <c r="F63">
        <v>718191</v>
      </c>
      <c r="G63" s="20">
        <f t="shared" si="0"/>
        <v>8.4400000000000017E-2</v>
      </c>
      <c r="H63" s="20">
        <f t="shared" si="1"/>
        <v>8.4400000000000017E-2</v>
      </c>
      <c r="I63" s="21">
        <f t="shared" si="2"/>
        <v>60615.320400000011</v>
      </c>
    </row>
    <row r="64" spans="1:9" x14ac:dyDescent="0.35">
      <c r="A64" s="17">
        <v>44523</v>
      </c>
      <c r="B64">
        <v>8.5000000000000006E-2</v>
      </c>
      <c r="C64">
        <v>8.5000000000000006E-2</v>
      </c>
      <c r="D64">
        <v>8.2000000000000003E-2</v>
      </c>
      <c r="E64">
        <v>8.3400000000000002E-2</v>
      </c>
      <c r="F64">
        <v>1067562</v>
      </c>
      <c r="G64" s="20">
        <f t="shared" si="0"/>
        <v>8.3850000000000008E-2</v>
      </c>
      <c r="H64" s="20">
        <f t="shared" si="1"/>
        <v>8.3850000000000008E-2</v>
      </c>
      <c r="I64" s="21">
        <f t="shared" si="2"/>
        <v>89515.073700000008</v>
      </c>
    </row>
    <row r="65" spans="1:9" x14ac:dyDescent="0.35">
      <c r="A65" s="17">
        <v>44524</v>
      </c>
      <c r="B65">
        <v>8.4900000000000003E-2</v>
      </c>
      <c r="C65">
        <v>0.09</v>
      </c>
      <c r="D65">
        <v>8.2900000000000001E-2</v>
      </c>
      <c r="E65">
        <v>8.5800000000000001E-2</v>
      </c>
      <c r="F65">
        <v>1104017</v>
      </c>
      <c r="G65" s="20">
        <f t="shared" si="0"/>
        <v>8.5900000000000004E-2</v>
      </c>
      <c r="H65" s="20">
        <f t="shared" si="1"/>
        <v>8.5900000000000004E-2</v>
      </c>
      <c r="I65" s="21">
        <f t="shared" si="2"/>
        <v>94835.060299999997</v>
      </c>
    </row>
    <row r="66" spans="1:9" x14ac:dyDescent="0.35">
      <c r="A66" s="17">
        <v>44525</v>
      </c>
      <c r="B66">
        <v>0.09</v>
      </c>
      <c r="C66">
        <v>0.09</v>
      </c>
      <c r="D66">
        <v>8.4000000000000005E-2</v>
      </c>
      <c r="E66">
        <v>8.7599999999999997E-2</v>
      </c>
      <c r="F66">
        <v>661445</v>
      </c>
      <c r="G66" s="20">
        <f t="shared" si="0"/>
        <v>8.7900000000000006E-2</v>
      </c>
      <c r="H66" s="20">
        <f t="shared" si="1"/>
        <v>8.7900000000000006E-2</v>
      </c>
      <c r="I66" s="21">
        <f t="shared" si="2"/>
        <v>58141.015500000001</v>
      </c>
    </row>
    <row r="67" spans="1:9" x14ac:dyDescent="0.35">
      <c r="A67" s="17">
        <v>44527</v>
      </c>
      <c r="B67">
        <v>8.7599999999999997E-2</v>
      </c>
      <c r="C67">
        <v>0.09</v>
      </c>
      <c r="D67">
        <v>8.5500000000000007E-2</v>
      </c>
      <c r="E67">
        <v>8.8999999999999996E-2</v>
      </c>
      <c r="F67">
        <v>424515</v>
      </c>
      <c r="G67" s="20">
        <f t="shared" si="0"/>
        <v>8.8024999999999992E-2</v>
      </c>
      <c r="H67" s="20">
        <f t="shared" si="1"/>
        <v>8.8024999999999992E-2</v>
      </c>
      <c r="I67" s="21">
        <f t="shared" si="2"/>
        <v>37367.932874999999</v>
      </c>
    </row>
    <row r="68" spans="1:9" x14ac:dyDescent="0.35">
      <c r="A68" s="17">
        <v>44530</v>
      </c>
      <c r="B68">
        <v>0.09</v>
      </c>
      <c r="C68">
        <v>0.09</v>
      </c>
      <c r="D68">
        <v>8.5000000000000006E-2</v>
      </c>
      <c r="E68">
        <v>8.5500000000000007E-2</v>
      </c>
      <c r="F68">
        <v>745361</v>
      </c>
      <c r="G68" s="20">
        <f t="shared" si="0"/>
        <v>8.7625000000000008E-2</v>
      </c>
      <c r="H68" s="20">
        <f t="shared" si="1"/>
        <v>8.7625000000000008E-2</v>
      </c>
      <c r="I68" s="21">
        <f t="shared" si="2"/>
        <v>65312.257625000006</v>
      </c>
    </row>
    <row r="69" spans="1:9" x14ac:dyDescent="0.35">
      <c r="A69" s="17">
        <v>44531</v>
      </c>
      <c r="B69">
        <v>8.8999999999999996E-2</v>
      </c>
      <c r="C69">
        <v>8.8999999999999996E-2</v>
      </c>
      <c r="D69">
        <v>8.5000000000000006E-2</v>
      </c>
      <c r="E69">
        <v>8.5000000000000006E-2</v>
      </c>
      <c r="F69">
        <v>558665</v>
      </c>
      <c r="G69" s="20">
        <f t="shared" si="0"/>
        <v>8.7000000000000008E-2</v>
      </c>
      <c r="H69" s="20">
        <f t="shared" si="1"/>
        <v>8.7000000000000008E-2</v>
      </c>
      <c r="I69" s="21">
        <f t="shared" si="2"/>
        <v>48603.855000000003</v>
      </c>
    </row>
    <row r="70" spans="1:9" x14ac:dyDescent="0.35">
      <c r="A70" s="17">
        <v>44532</v>
      </c>
      <c r="B70">
        <v>8.6099999999999996E-2</v>
      </c>
      <c r="C70">
        <v>8.8999999999999996E-2</v>
      </c>
      <c r="D70">
        <v>8.2500000000000004E-2</v>
      </c>
      <c r="E70">
        <v>8.3500000000000005E-2</v>
      </c>
      <c r="F70">
        <v>846589</v>
      </c>
      <c r="G70" s="20">
        <f t="shared" si="0"/>
        <v>8.5275000000000004E-2</v>
      </c>
      <c r="H70" s="20">
        <f t="shared" si="1"/>
        <v>8.5275000000000004E-2</v>
      </c>
      <c r="I70" s="21">
        <f t="shared" si="2"/>
        <v>72192.876975000006</v>
      </c>
    </row>
    <row r="71" spans="1:9" x14ac:dyDescent="0.35">
      <c r="A71" s="17">
        <v>44533</v>
      </c>
      <c r="B71">
        <v>8.4500000000000006E-2</v>
      </c>
      <c r="C71">
        <v>8.6099999999999996E-2</v>
      </c>
      <c r="D71">
        <v>8.1000000000000003E-2</v>
      </c>
      <c r="E71">
        <v>8.5199999999999998E-2</v>
      </c>
      <c r="F71">
        <v>643077</v>
      </c>
      <c r="G71" s="20">
        <f t="shared" si="0"/>
        <v>8.4199999999999997E-2</v>
      </c>
      <c r="H71" s="20">
        <f t="shared" si="1"/>
        <v>8.4199999999999997E-2</v>
      </c>
      <c r="I71" s="21">
        <f t="shared" si="2"/>
        <v>54147.083399999996</v>
      </c>
    </row>
    <row r="72" spans="1:9" x14ac:dyDescent="0.35">
      <c r="A72" s="17">
        <v>44534</v>
      </c>
      <c r="B72">
        <v>8.4500000000000006E-2</v>
      </c>
      <c r="C72">
        <v>8.5500000000000007E-2</v>
      </c>
      <c r="D72">
        <v>8.14E-2</v>
      </c>
      <c r="E72">
        <v>8.5400000000000004E-2</v>
      </c>
      <c r="F72">
        <v>685073</v>
      </c>
      <c r="G72" s="20">
        <f t="shared" si="0"/>
        <v>8.4199999999999997E-2</v>
      </c>
      <c r="H72" s="20">
        <f t="shared" si="1"/>
        <v>8.4199999999999997E-2</v>
      </c>
      <c r="I72" s="21">
        <f t="shared" si="2"/>
        <v>57683.1466</v>
      </c>
    </row>
    <row r="73" spans="1:9" x14ac:dyDescent="0.35">
      <c r="A73" s="17">
        <v>44537</v>
      </c>
      <c r="B73">
        <v>8.5000000000000006E-2</v>
      </c>
      <c r="C73">
        <v>8.5500000000000007E-2</v>
      </c>
      <c r="D73">
        <v>8.2299999999999998E-2</v>
      </c>
      <c r="E73">
        <v>8.5400000000000004E-2</v>
      </c>
      <c r="F73">
        <v>508667</v>
      </c>
      <c r="G73" s="20">
        <f t="shared" ref="G73:G130" si="3">(AVERAGE(B73:E73)*F73)/F73</f>
        <v>8.4550000000000014E-2</v>
      </c>
      <c r="H73" s="20">
        <f t="shared" ref="H73:H130" si="4">AVERAGE(B73:E73)</f>
        <v>8.4550000000000014E-2</v>
      </c>
      <c r="I73" s="21">
        <f t="shared" ref="I73:I130" si="5">F73*AVERAGE(B73:E73)</f>
        <v>43007.794850000006</v>
      </c>
    </row>
    <row r="74" spans="1:9" x14ac:dyDescent="0.35">
      <c r="A74" s="17">
        <v>44538</v>
      </c>
      <c r="B74">
        <v>8.2299999999999998E-2</v>
      </c>
      <c r="C74">
        <v>0.09</v>
      </c>
      <c r="D74">
        <v>8.2199999999999995E-2</v>
      </c>
      <c r="E74">
        <v>8.72E-2</v>
      </c>
      <c r="F74">
        <v>1133743</v>
      </c>
      <c r="G74" s="20">
        <f t="shared" si="3"/>
        <v>8.5425000000000001E-2</v>
      </c>
      <c r="H74" s="20">
        <f t="shared" si="4"/>
        <v>8.5425000000000001E-2</v>
      </c>
      <c r="I74" s="21">
        <f t="shared" si="5"/>
        <v>96849.995775000003</v>
      </c>
    </row>
    <row r="75" spans="1:9" x14ac:dyDescent="0.35">
      <c r="A75" s="17">
        <v>44539</v>
      </c>
      <c r="B75">
        <v>8.6099999999999996E-2</v>
      </c>
      <c r="C75">
        <v>8.9899999999999994E-2</v>
      </c>
      <c r="D75">
        <v>8.6099999999999996E-2</v>
      </c>
      <c r="E75">
        <v>8.8900000000000007E-2</v>
      </c>
      <c r="F75">
        <v>624144</v>
      </c>
      <c r="G75" s="20">
        <f t="shared" si="3"/>
        <v>8.7749999999999995E-2</v>
      </c>
      <c r="H75" s="20">
        <f t="shared" si="4"/>
        <v>8.7749999999999995E-2</v>
      </c>
      <c r="I75" s="21">
        <f t="shared" si="5"/>
        <v>54768.635999999999</v>
      </c>
    </row>
    <row r="76" spans="1:9" x14ac:dyDescent="0.35">
      <c r="A76" s="17">
        <v>44540</v>
      </c>
      <c r="B76">
        <v>8.8999999999999996E-2</v>
      </c>
      <c r="C76">
        <v>8.8999999999999996E-2</v>
      </c>
      <c r="D76">
        <v>8.5000000000000006E-2</v>
      </c>
      <c r="E76">
        <v>8.5599999999999996E-2</v>
      </c>
      <c r="F76">
        <v>391764</v>
      </c>
      <c r="G76" s="20">
        <f t="shared" si="3"/>
        <v>8.7150000000000005E-2</v>
      </c>
      <c r="H76" s="20">
        <f t="shared" si="4"/>
        <v>8.7150000000000005E-2</v>
      </c>
      <c r="I76" s="21">
        <f t="shared" si="5"/>
        <v>34142.232600000003</v>
      </c>
    </row>
    <row r="77" spans="1:9" x14ac:dyDescent="0.35">
      <c r="A77" s="17">
        <v>44541</v>
      </c>
      <c r="B77">
        <v>8.7400000000000005E-2</v>
      </c>
      <c r="C77">
        <v>8.7400000000000005E-2</v>
      </c>
      <c r="D77">
        <v>8.5000000000000006E-2</v>
      </c>
      <c r="E77">
        <v>8.5099999999999995E-2</v>
      </c>
      <c r="F77">
        <v>461462</v>
      </c>
      <c r="G77" s="20">
        <f t="shared" si="3"/>
        <v>8.622500000000001E-2</v>
      </c>
      <c r="H77" s="20">
        <f t="shared" si="4"/>
        <v>8.622500000000001E-2</v>
      </c>
      <c r="I77" s="21">
        <f t="shared" si="5"/>
        <v>39789.560950000006</v>
      </c>
    </row>
    <row r="78" spans="1:9" x14ac:dyDescent="0.35">
      <c r="A78" s="17">
        <v>44544</v>
      </c>
      <c r="B78">
        <v>8.5000000000000006E-2</v>
      </c>
      <c r="C78">
        <v>8.7900000000000006E-2</v>
      </c>
      <c r="D78">
        <v>8.5000000000000006E-2</v>
      </c>
      <c r="E78">
        <v>8.7499999999999994E-2</v>
      </c>
      <c r="F78">
        <v>454568</v>
      </c>
      <c r="G78" s="20">
        <f t="shared" si="3"/>
        <v>8.635000000000001E-2</v>
      </c>
      <c r="H78" s="20">
        <f t="shared" si="4"/>
        <v>8.635000000000001E-2</v>
      </c>
      <c r="I78" s="21">
        <f t="shared" si="5"/>
        <v>39251.946800000005</v>
      </c>
    </row>
    <row r="79" spans="1:9" x14ac:dyDescent="0.35">
      <c r="A79" s="17">
        <v>44545</v>
      </c>
      <c r="B79">
        <v>8.7999999999999995E-2</v>
      </c>
      <c r="C79">
        <v>8.7999999999999995E-2</v>
      </c>
      <c r="D79">
        <v>8.4099999999999994E-2</v>
      </c>
      <c r="E79">
        <v>8.6499999999999994E-2</v>
      </c>
      <c r="F79">
        <v>951306</v>
      </c>
      <c r="G79" s="20">
        <f t="shared" si="3"/>
        <v>8.6650000000000005E-2</v>
      </c>
      <c r="H79" s="20">
        <f t="shared" si="4"/>
        <v>8.6650000000000005E-2</v>
      </c>
      <c r="I79" s="21">
        <f t="shared" si="5"/>
        <v>82430.664900000003</v>
      </c>
    </row>
    <row r="80" spans="1:9" x14ac:dyDescent="0.35">
      <c r="A80" s="17">
        <v>44546</v>
      </c>
      <c r="B80">
        <v>8.4000000000000005E-2</v>
      </c>
      <c r="C80">
        <v>8.5500000000000007E-2</v>
      </c>
      <c r="D80">
        <v>8.2400000000000001E-2</v>
      </c>
      <c r="E80">
        <v>8.2400000000000001E-2</v>
      </c>
      <c r="F80">
        <v>546130</v>
      </c>
      <c r="G80" s="20">
        <f t="shared" si="3"/>
        <v>8.357500000000001E-2</v>
      </c>
      <c r="H80" s="20">
        <f t="shared" si="4"/>
        <v>8.357500000000001E-2</v>
      </c>
      <c r="I80" s="21">
        <f t="shared" si="5"/>
        <v>45642.814750000005</v>
      </c>
    </row>
    <row r="81" spans="1:9" x14ac:dyDescent="0.35">
      <c r="A81" s="17">
        <v>44547</v>
      </c>
      <c r="B81">
        <v>8.2500000000000004E-2</v>
      </c>
      <c r="C81">
        <v>8.5000000000000006E-2</v>
      </c>
      <c r="D81">
        <v>8.14E-2</v>
      </c>
      <c r="E81">
        <v>8.3699999999999997E-2</v>
      </c>
      <c r="F81">
        <v>633787</v>
      </c>
      <c r="G81" s="20">
        <f t="shared" si="3"/>
        <v>8.3150000000000002E-2</v>
      </c>
      <c r="H81" s="20">
        <f t="shared" si="4"/>
        <v>8.3150000000000002E-2</v>
      </c>
      <c r="I81" s="21">
        <f t="shared" si="5"/>
        <v>52699.389049999998</v>
      </c>
    </row>
    <row r="82" spans="1:9" x14ac:dyDescent="0.35">
      <c r="A82" s="17">
        <v>44548</v>
      </c>
      <c r="B82">
        <v>8.5500000000000007E-2</v>
      </c>
      <c r="C82">
        <v>8.5500000000000007E-2</v>
      </c>
      <c r="D82">
        <v>8.3000000000000004E-2</v>
      </c>
      <c r="E82">
        <v>8.4000000000000005E-2</v>
      </c>
      <c r="F82">
        <v>281279</v>
      </c>
      <c r="G82" s="20">
        <f t="shared" si="3"/>
        <v>8.4500000000000006E-2</v>
      </c>
      <c r="H82" s="20">
        <f t="shared" si="4"/>
        <v>8.4500000000000006E-2</v>
      </c>
      <c r="I82" s="21">
        <f t="shared" si="5"/>
        <v>23768.075500000003</v>
      </c>
    </row>
    <row r="83" spans="1:9" x14ac:dyDescent="0.35">
      <c r="A83" s="17">
        <v>44551</v>
      </c>
      <c r="B83">
        <v>8.4000000000000005E-2</v>
      </c>
      <c r="C83">
        <v>8.4000000000000005E-2</v>
      </c>
      <c r="D83">
        <v>8.1699999999999995E-2</v>
      </c>
      <c r="E83">
        <v>8.2799999999999999E-2</v>
      </c>
      <c r="F83">
        <v>670184</v>
      </c>
      <c r="G83" s="20">
        <f t="shared" si="3"/>
        <v>8.3125000000000004E-2</v>
      </c>
      <c r="H83" s="20">
        <f t="shared" si="4"/>
        <v>8.3125000000000004E-2</v>
      </c>
      <c r="I83" s="21">
        <f t="shared" si="5"/>
        <v>55709.045000000006</v>
      </c>
    </row>
    <row r="84" spans="1:9" x14ac:dyDescent="0.35">
      <c r="A84" s="17">
        <v>44552</v>
      </c>
      <c r="B84">
        <v>8.3900000000000002E-2</v>
      </c>
      <c r="C84">
        <v>8.5699999999999998E-2</v>
      </c>
      <c r="D84">
        <v>8.1199999999999994E-2</v>
      </c>
      <c r="E84">
        <v>8.3299999999999999E-2</v>
      </c>
      <c r="F84">
        <v>564789</v>
      </c>
      <c r="G84" s="20">
        <f t="shared" si="3"/>
        <v>8.3525000000000002E-2</v>
      </c>
      <c r="H84" s="20">
        <f t="shared" si="4"/>
        <v>8.3525000000000002E-2</v>
      </c>
      <c r="I84" s="21">
        <f t="shared" si="5"/>
        <v>47174.001225</v>
      </c>
    </row>
    <row r="85" spans="1:9" x14ac:dyDescent="0.35">
      <c r="A85" s="17">
        <v>44553</v>
      </c>
      <c r="B85">
        <v>8.2799999999999999E-2</v>
      </c>
      <c r="C85">
        <v>8.6900000000000005E-2</v>
      </c>
      <c r="D85">
        <v>8.2000000000000003E-2</v>
      </c>
      <c r="E85">
        <v>8.4900000000000003E-2</v>
      </c>
      <c r="F85">
        <v>328594</v>
      </c>
      <c r="G85" s="20">
        <f t="shared" si="3"/>
        <v>8.4150000000000003E-2</v>
      </c>
      <c r="H85" s="20">
        <f t="shared" si="4"/>
        <v>8.4150000000000003E-2</v>
      </c>
      <c r="I85" s="21">
        <f t="shared" si="5"/>
        <v>27651.185100000002</v>
      </c>
    </row>
    <row r="86" spans="1:9" x14ac:dyDescent="0.35">
      <c r="A86" s="17">
        <v>44555</v>
      </c>
      <c r="B86">
        <v>8.4000000000000005E-2</v>
      </c>
      <c r="C86">
        <v>8.6900000000000005E-2</v>
      </c>
      <c r="D86">
        <v>8.1000000000000003E-2</v>
      </c>
      <c r="E86">
        <v>8.4099999999999994E-2</v>
      </c>
      <c r="F86">
        <v>165992</v>
      </c>
      <c r="G86" s="20">
        <f t="shared" si="3"/>
        <v>8.4000000000000005E-2</v>
      </c>
      <c r="H86" s="20">
        <f t="shared" si="4"/>
        <v>8.4000000000000005E-2</v>
      </c>
      <c r="I86" s="21">
        <f t="shared" si="5"/>
        <v>13943.328000000001</v>
      </c>
    </row>
    <row r="87" spans="1:9" x14ac:dyDescent="0.35">
      <c r="A87" s="17">
        <v>44558</v>
      </c>
      <c r="B87">
        <v>8.2699999999999996E-2</v>
      </c>
      <c r="C87">
        <v>8.7900000000000006E-2</v>
      </c>
      <c r="D87">
        <v>8.2000000000000003E-2</v>
      </c>
      <c r="E87">
        <v>8.2500000000000004E-2</v>
      </c>
      <c r="F87">
        <v>818895</v>
      </c>
      <c r="G87" s="20">
        <f t="shared" si="3"/>
        <v>8.3775000000000002E-2</v>
      </c>
      <c r="H87" s="20">
        <f t="shared" si="4"/>
        <v>8.3775000000000002E-2</v>
      </c>
      <c r="I87" s="21">
        <f t="shared" si="5"/>
        <v>68602.928625</v>
      </c>
    </row>
    <row r="88" spans="1:9" x14ac:dyDescent="0.35">
      <c r="A88" s="17">
        <v>44559</v>
      </c>
      <c r="B88">
        <v>8.2500000000000004E-2</v>
      </c>
      <c r="C88">
        <v>8.5300000000000001E-2</v>
      </c>
      <c r="D88">
        <v>8.2500000000000004E-2</v>
      </c>
      <c r="E88">
        <v>8.4500000000000006E-2</v>
      </c>
      <c r="F88">
        <v>255430</v>
      </c>
      <c r="G88" s="20">
        <f t="shared" si="3"/>
        <v>8.3700000000000011E-2</v>
      </c>
      <c r="H88" s="20">
        <f t="shared" si="4"/>
        <v>8.3700000000000011E-2</v>
      </c>
      <c r="I88" s="21">
        <f t="shared" si="5"/>
        <v>21379.491000000002</v>
      </c>
    </row>
    <row r="89" spans="1:9" x14ac:dyDescent="0.35">
      <c r="A89" s="17">
        <v>44560</v>
      </c>
      <c r="B89">
        <v>8.2000000000000003E-2</v>
      </c>
      <c r="C89">
        <v>8.5500000000000007E-2</v>
      </c>
      <c r="D89">
        <v>8.1000000000000003E-2</v>
      </c>
      <c r="E89">
        <v>8.5500000000000007E-2</v>
      </c>
      <c r="F89">
        <v>819316</v>
      </c>
      <c r="G89" s="20">
        <f t="shared" si="3"/>
        <v>8.3500000000000005E-2</v>
      </c>
      <c r="H89" s="20">
        <f t="shared" si="4"/>
        <v>8.3500000000000005E-2</v>
      </c>
      <c r="I89" s="21">
        <f t="shared" si="5"/>
        <v>68412.885999999999</v>
      </c>
    </row>
    <row r="90" spans="1:9" x14ac:dyDescent="0.35">
      <c r="A90" s="17">
        <v>44562</v>
      </c>
      <c r="B90">
        <v>8.5500000000000007E-2</v>
      </c>
      <c r="C90">
        <v>8.5500000000000007E-2</v>
      </c>
      <c r="D90">
        <v>8.1100000000000005E-2</v>
      </c>
      <c r="E90">
        <v>8.5199999999999998E-2</v>
      </c>
      <c r="F90">
        <v>440844</v>
      </c>
      <c r="G90" s="20">
        <f t="shared" si="3"/>
        <v>8.4324999999999997E-2</v>
      </c>
      <c r="H90" s="20">
        <f t="shared" si="4"/>
        <v>8.4324999999999997E-2</v>
      </c>
      <c r="I90" s="21">
        <f t="shared" si="5"/>
        <v>37174.170299999998</v>
      </c>
    </row>
    <row r="91" spans="1:9" x14ac:dyDescent="0.35">
      <c r="A91" s="17">
        <v>44565</v>
      </c>
      <c r="B91">
        <v>8.5500000000000007E-2</v>
      </c>
      <c r="C91">
        <v>8.5500000000000007E-2</v>
      </c>
      <c r="D91">
        <v>8.3000000000000004E-2</v>
      </c>
      <c r="E91">
        <v>8.3000000000000004E-2</v>
      </c>
      <c r="F91">
        <v>415280</v>
      </c>
      <c r="G91" s="20">
        <f t="shared" si="3"/>
        <v>8.4250000000000005E-2</v>
      </c>
      <c r="H91" s="20">
        <f t="shared" si="4"/>
        <v>8.4250000000000005E-2</v>
      </c>
      <c r="I91" s="21">
        <f t="shared" si="5"/>
        <v>34987.340000000004</v>
      </c>
    </row>
    <row r="92" spans="1:9" x14ac:dyDescent="0.35">
      <c r="A92" s="17">
        <v>44566</v>
      </c>
      <c r="B92">
        <v>8.3000000000000004E-2</v>
      </c>
      <c r="C92">
        <v>8.7499999999999994E-2</v>
      </c>
      <c r="D92">
        <v>8.3000000000000004E-2</v>
      </c>
      <c r="E92">
        <v>8.4400000000000003E-2</v>
      </c>
      <c r="F92">
        <v>628696</v>
      </c>
      <c r="G92" s="20">
        <f t="shared" si="3"/>
        <v>8.4474999999999995E-2</v>
      </c>
      <c r="H92" s="20">
        <f t="shared" si="4"/>
        <v>8.4474999999999995E-2</v>
      </c>
      <c r="I92" s="21">
        <f t="shared" si="5"/>
        <v>53109.094599999997</v>
      </c>
    </row>
    <row r="93" spans="1:9" x14ac:dyDescent="0.35">
      <c r="A93" s="17">
        <v>44567</v>
      </c>
      <c r="B93">
        <v>8.6499999999999994E-2</v>
      </c>
      <c r="C93">
        <v>8.7400000000000005E-2</v>
      </c>
      <c r="D93">
        <v>8.3000000000000004E-2</v>
      </c>
      <c r="E93">
        <v>8.4500000000000006E-2</v>
      </c>
      <c r="F93">
        <v>196512</v>
      </c>
      <c r="G93" s="20">
        <f t="shared" si="3"/>
        <v>8.5350000000000009E-2</v>
      </c>
      <c r="H93" s="20">
        <f t="shared" si="4"/>
        <v>8.5350000000000009E-2</v>
      </c>
      <c r="I93" s="21">
        <f t="shared" si="5"/>
        <v>16772.299200000001</v>
      </c>
    </row>
    <row r="94" spans="1:9" x14ac:dyDescent="0.35">
      <c r="A94" s="17">
        <v>44568</v>
      </c>
      <c r="B94">
        <v>8.4500000000000006E-2</v>
      </c>
      <c r="C94">
        <v>8.4500000000000006E-2</v>
      </c>
      <c r="D94">
        <v>8.0600000000000005E-2</v>
      </c>
      <c r="E94">
        <v>8.1699999999999995E-2</v>
      </c>
      <c r="F94">
        <v>1536664</v>
      </c>
      <c r="G94" s="20">
        <f t="shared" si="3"/>
        <v>8.282500000000001E-2</v>
      </c>
      <c r="H94" s="20">
        <f t="shared" si="4"/>
        <v>8.282500000000001E-2</v>
      </c>
      <c r="I94" s="21">
        <f t="shared" si="5"/>
        <v>127274.19580000002</v>
      </c>
    </row>
    <row r="95" spans="1:9" x14ac:dyDescent="0.35">
      <c r="A95" s="17">
        <v>44569</v>
      </c>
      <c r="B95">
        <v>8.3799999999999999E-2</v>
      </c>
      <c r="C95">
        <v>8.3799999999999999E-2</v>
      </c>
      <c r="D95">
        <v>8.0600000000000005E-2</v>
      </c>
      <c r="E95">
        <v>8.1799999999999998E-2</v>
      </c>
      <c r="F95">
        <v>418314</v>
      </c>
      <c r="G95" s="20">
        <f t="shared" si="3"/>
        <v>8.2500000000000004E-2</v>
      </c>
      <c r="H95" s="20">
        <f t="shared" si="4"/>
        <v>8.2500000000000004E-2</v>
      </c>
      <c r="I95" s="21">
        <f t="shared" si="5"/>
        <v>34510.904999999999</v>
      </c>
    </row>
    <row r="96" spans="1:9" x14ac:dyDescent="0.35">
      <c r="A96" s="17">
        <v>44572</v>
      </c>
      <c r="B96">
        <v>0.08</v>
      </c>
      <c r="C96">
        <v>8.2500000000000004E-2</v>
      </c>
      <c r="D96">
        <v>0.08</v>
      </c>
      <c r="E96">
        <v>8.2100000000000006E-2</v>
      </c>
      <c r="F96">
        <v>1141862</v>
      </c>
      <c r="G96" s="20">
        <f t="shared" si="3"/>
        <v>8.115E-2</v>
      </c>
      <c r="H96" s="20">
        <f t="shared" si="4"/>
        <v>8.115E-2</v>
      </c>
      <c r="I96" s="21">
        <f t="shared" si="5"/>
        <v>92662.101299999995</v>
      </c>
    </row>
    <row r="97" spans="1:9" x14ac:dyDescent="0.35">
      <c r="A97" s="17">
        <v>44573</v>
      </c>
      <c r="B97">
        <v>8.2400000000000001E-2</v>
      </c>
      <c r="C97">
        <v>8.9800000000000005E-2</v>
      </c>
      <c r="D97">
        <v>8.1000000000000003E-2</v>
      </c>
      <c r="E97">
        <v>8.2400000000000001E-2</v>
      </c>
      <c r="F97">
        <v>2851281</v>
      </c>
      <c r="G97" s="20">
        <f t="shared" si="3"/>
        <v>8.3900000000000002E-2</v>
      </c>
      <c r="H97" s="20">
        <f t="shared" si="4"/>
        <v>8.3900000000000002E-2</v>
      </c>
      <c r="I97" s="21">
        <f t="shared" si="5"/>
        <v>239222.47590000002</v>
      </c>
    </row>
    <row r="98" spans="1:9" x14ac:dyDescent="0.35">
      <c r="A98" s="17">
        <v>44574</v>
      </c>
      <c r="B98">
        <v>8.3000000000000004E-2</v>
      </c>
      <c r="C98">
        <v>8.5900000000000004E-2</v>
      </c>
      <c r="D98">
        <v>8.3000000000000004E-2</v>
      </c>
      <c r="E98">
        <v>8.4699999999999998E-2</v>
      </c>
      <c r="F98">
        <v>2095589</v>
      </c>
      <c r="G98" s="20">
        <f t="shared" si="3"/>
        <v>8.4150000000000003E-2</v>
      </c>
      <c r="H98" s="20">
        <f t="shared" si="4"/>
        <v>8.4150000000000003E-2</v>
      </c>
      <c r="I98" s="21">
        <f t="shared" si="5"/>
        <v>176343.81435</v>
      </c>
    </row>
    <row r="99" spans="1:9" x14ac:dyDescent="0.35">
      <c r="A99" s="17">
        <v>44575</v>
      </c>
      <c r="B99">
        <v>8.5000000000000006E-2</v>
      </c>
      <c r="C99">
        <v>8.5199999999999998E-2</v>
      </c>
      <c r="D99">
        <v>8.2500000000000004E-2</v>
      </c>
      <c r="E99">
        <v>8.2500000000000004E-2</v>
      </c>
      <c r="F99">
        <v>816057</v>
      </c>
      <c r="G99" s="20">
        <f t="shared" si="3"/>
        <v>8.3800000000000013E-2</v>
      </c>
      <c r="H99" s="20">
        <f t="shared" si="4"/>
        <v>8.3800000000000013E-2</v>
      </c>
      <c r="I99" s="21">
        <f t="shared" si="5"/>
        <v>68385.576600000015</v>
      </c>
    </row>
    <row r="100" spans="1:9" x14ac:dyDescent="0.35">
      <c r="A100" s="17">
        <v>44576</v>
      </c>
      <c r="B100">
        <v>8.2799999999999999E-2</v>
      </c>
      <c r="C100">
        <v>8.7499999999999994E-2</v>
      </c>
      <c r="D100">
        <v>8.2500000000000004E-2</v>
      </c>
      <c r="E100">
        <v>8.6099999999999996E-2</v>
      </c>
      <c r="F100">
        <v>781293</v>
      </c>
      <c r="G100" s="20">
        <f t="shared" si="3"/>
        <v>8.4725000000000009E-2</v>
      </c>
      <c r="H100" s="20">
        <f t="shared" si="4"/>
        <v>8.4725000000000009E-2</v>
      </c>
      <c r="I100" s="21">
        <f t="shared" si="5"/>
        <v>66195.049425000005</v>
      </c>
    </row>
    <row r="101" spans="1:9" x14ac:dyDescent="0.35">
      <c r="A101" s="17">
        <v>44580</v>
      </c>
      <c r="B101">
        <v>8.2799999999999999E-2</v>
      </c>
      <c r="C101">
        <v>8.6999999999999994E-2</v>
      </c>
      <c r="D101">
        <v>8.2000000000000003E-2</v>
      </c>
      <c r="E101">
        <v>8.5800000000000001E-2</v>
      </c>
      <c r="F101">
        <v>1625762</v>
      </c>
      <c r="G101" s="20">
        <f t="shared" si="3"/>
        <v>8.4400000000000003E-2</v>
      </c>
      <c r="H101" s="20">
        <f t="shared" si="4"/>
        <v>8.4400000000000003E-2</v>
      </c>
      <c r="I101" s="21">
        <f t="shared" si="5"/>
        <v>137214.31280000001</v>
      </c>
    </row>
    <row r="102" spans="1:9" x14ac:dyDescent="0.35">
      <c r="A102" s="17">
        <v>44581</v>
      </c>
      <c r="B102">
        <v>8.2000000000000003E-2</v>
      </c>
      <c r="C102">
        <v>8.3500000000000005E-2</v>
      </c>
      <c r="D102">
        <v>8.2000000000000003E-2</v>
      </c>
      <c r="E102">
        <v>8.2799999999999999E-2</v>
      </c>
      <c r="F102">
        <v>544289</v>
      </c>
      <c r="G102" s="20">
        <f t="shared" si="3"/>
        <v>8.2574999999999996E-2</v>
      </c>
      <c r="H102" s="20">
        <f t="shared" si="4"/>
        <v>8.2574999999999996E-2</v>
      </c>
      <c r="I102" s="21">
        <f t="shared" si="5"/>
        <v>44944.664174999998</v>
      </c>
    </row>
    <row r="103" spans="1:9" x14ac:dyDescent="0.35">
      <c r="A103" s="17">
        <v>44582</v>
      </c>
      <c r="B103">
        <v>8.3099999999999993E-2</v>
      </c>
      <c r="C103">
        <v>8.3099999999999993E-2</v>
      </c>
      <c r="D103">
        <v>8.1100000000000005E-2</v>
      </c>
      <c r="E103">
        <v>8.1100000000000005E-2</v>
      </c>
      <c r="F103">
        <v>1616489</v>
      </c>
      <c r="G103" s="20">
        <f t="shared" si="3"/>
        <v>8.2099999999999992E-2</v>
      </c>
      <c r="H103" s="20">
        <f t="shared" si="4"/>
        <v>8.2100000000000006E-2</v>
      </c>
      <c r="I103" s="21">
        <f t="shared" si="5"/>
        <v>132713.7469</v>
      </c>
    </row>
    <row r="104" spans="1:9" x14ac:dyDescent="0.35">
      <c r="A104" s="17">
        <v>44583</v>
      </c>
      <c r="B104">
        <v>8.2000000000000003E-2</v>
      </c>
      <c r="C104">
        <v>8.3500000000000005E-2</v>
      </c>
      <c r="D104">
        <v>8.14E-2</v>
      </c>
      <c r="E104">
        <v>8.3099999999999993E-2</v>
      </c>
      <c r="F104">
        <v>1101621</v>
      </c>
      <c r="G104" s="20">
        <f t="shared" si="3"/>
        <v>8.2500000000000004E-2</v>
      </c>
      <c r="H104" s="20">
        <f t="shared" si="4"/>
        <v>8.2500000000000004E-2</v>
      </c>
      <c r="I104" s="21">
        <f t="shared" si="5"/>
        <v>90883.732499999998</v>
      </c>
    </row>
    <row r="105" spans="1:9" x14ac:dyDescent="0.35">
      <c r="A105" s="17">
        <v>44586</v>
      </c>
      <c r="B105">
        <v>8.3500000000000005E-2</v>
      </c>
      <c r="C105">
        <v>8.3500000000000005E-2</v>
      </c>
      <c r="D105">
        <v>8.1000000000000003E-2</v>
      </c>
      <c r="E105">
        <v>8.1799999999999998E-2</v>
      </c>
      <c r="F105">
        <v>539616</v>
      </c>
      <c r="G105" s="20">
        <f t="shared" si="3"/>
        <v>8.2449999999999996E-2</v>
      </c>
      <c r="H105" s="20">
        <f t="shared" si="4"/>
        <v>8.2449999999999996E-2</v>
      </c>
      <c r="I105" s="21">
        <f t="shared" si="5"/>
        <v>44491.339199999995</v>
      </c>
    </row>
    <row r="106" spans="1:9" x14ac:dyDescent="0.35">
      <c r="A106" s="17">
        <v>44587</v>
      </c>
      <c r="B106">
        <v>8.1000000000000003E-2</v>
      </c>
      <c r="C106">
        <v>8.2000000000000003E-2</v>
      </c>
      <c r="D106">
        <v>0.08</v>
      </c>
      <c r="E106">
        <v>8.1500000000000003E-2</v>
      </c>
      <c r="F106">
        <v>661726</v>
      </c>
      <c r="G106" s="20">
        <f t="shared" si="3"/>
        <v>8.1125000000000003E-2</v>
      </c>
      <c r="H106" s="20">
        <f t="shared" si="4"/>
        <v>8.1125000000000003E-2</v>
      </c>
      <c r="I106" s="21">
        <f t="shared" si="5"/>
        <v>53682.52175</v>
      </c>
    </row>
    <row r="107" spans="1:9" x14ac:dyDescent="0.35">
      <c r="A107" s="17">
        <v>44588</v>
      </c>
      <c r="B107">
        <v>0.08</v>
      </c>
      <c r="C107">
        <v>8.4000000000000005E-2</v>
      </c>
      <c r="D107">
        <v>7.9600000000000004E-2</v>
      </c>
      <c r="E107">
        <v>8.1900000000000001E-2</v>
      </c>
      <c r="F107">
        <v>1328858</v>
      </c>
      <c r="G107" s="20">
        <f t="shared" si="3"/>
        <v>8.1375000000000003E-2</v>
      </c>
      <c r="H107" s="20">
        <f t="shared" si="4"/>
        <v>8.1375000000000003E-2</v>
      </c>
      <c r="I107" s="21">
        <f t="shared" si="5"/>
        <v>108135.81975000001</v>
      </c>
    </row>
    <row r="108" spans="1:9" x14ac:dyDescent="0.35">
      <c r="A108" s="17">
        <v>44589</v>
      </c>
      <c r="B108">
        <v>0.08</v>
      </c>
      <c r="C108">
        <v>8.2000000000000003E-2</v>
      </c>
      <c r="D108">
        <v>0.08</v>
      </c>
      <c r="E108">
        <v>8.0399999999999999E-2</v>
      </c>
      <c r="F108">
        <v>780541</v>
      </c>
      <c r="G108" s="20">
        <f t="shared" si="3"/>
        <v>8.0600000000000005E-2</v>
      </c>
      <c r="H108" s="20">
        <f t="shared" si="4"/>
        <v>8.0600000000000005E-2</v>
      </c>
      <c r="I108" s="21">
        <f t="shared" si="5"/>
        <v>62911.604600000006</v>
      </c>
    </row>
    <row r="109" spans="1:9" x14ac:dyDescent="0.35">
      <c r="A109" s="17">
        <v>44590</v>
      </c>
      <c r="B109">
        <v>8.1000000000000003E-2</v>
      </c>
      <c r="C109">
        <v>8.1199999999999994E-2</v>
      </c>
      <c r="D109">
        <v>7.8E-2</v>
      </c>
      <c r="E109">
        <v>8.1000000000000003E-2</v>
      </c>
      <c r="F109">
        <v>583671</v>
      </c>
      <c r="G109" s="20">
        <f t="shared" si="3"/>
        <v>8.030000000000001E-2</v>
      </c>
      <c r="H109" s="20">
        <f t="shared" si="4"/>
        <v>8.030000000000001E-2</v>
      </c>
      <c r="I109" s="21">
        <f t="shared" si="5"/>
        <v>46868.781300000002</v>
      </c>
    </row>
    <row r="110" spans="1:9" x14ac:dyDescent="0.35">
      <c r="A110" s="17">
        <v>44593</v>
      </c>
      <c r="B110">
        <v>7.9600000000000004E-2</v>
      </c>
      <c r="C110">
        <v>8.7999999999999995E-2</v>
      </c>
      <c r="D110">
        <v>7.9500000000000001E-2</v>
      </c>
      <c r="E110">
        <v>8.5999999999999993E-2</v>
      </c>
      <c r="F110">
        <v>1640895</v>
      </c>
      <c r="G110" s="20">
        <f t="shared" si="3"/>
        <v>8.3274999999999988E-2</v>
      </c>
      <c r="H110" s="20">
        <f t="shared" si="4"/>
        <v>8.3274999999999988E-2</v>
      </c>
      <c r="I110" s="21">
        <f t="shared" si="5"/>
        <v>136645.53112499998</v>
      </c>
    </row>
    <row r="111" spans="1:9" x14ac:dyDescent="0.35">
      <c r="A111" s="17">
        <v>44594</v>
      </c>
      <c r="B111">
        <v>8.0299999999999996E-2</v>
      </c>
      <c r="C111">
        <v>8.4000000000000005E-2</v>
      </c>
      <c r="D111">
        <v>7.5300000000000006E-2</v>
      </c>
      <c r="E111">
        <v>7.9600000000000004E-2</v>
      </c>
      <c r="F111">
        <v>1490713</v>
      </c>
      <c r="G111" s="20">
        <f t="shared" si="3"/>
        <v>7.980000000000001E-2</v>
      </c>
      <c r="H111" s="20">
        <f t="shared" si="4"/>
        <v>7.980000000000001E-2</v>
      </c>
      <c r="I111" s="21">
        <f t="shared" si="5"/>
        <v>118958.89740000002</v>
      </c>
    </row>
    <row r="112" spans="1:9" x14ac:dyDescent="0.35">
      <c r="A112" s="17">
        <v>44595</v>
      </c>
      <c r="B112">
        <v>7.7499999999999999E-2</v>
      </c>
      <c r="C112">
        <v>8.2299999999999998E-2</v>
      </c>
      <c r="D112">
        <v>7.6999999999999999E-2</v>
      </c>
      <c r="E112">
        <v>7.9299999999999995E-2</v>
      </c>
      <c r="F112">
        <v>263203</v>
      </c>
      <c r="G112" s="20">
        <f t="shared" si="3"/>
        <v>7.9024999999999998E-2</v>
      </c>
      <c r="H112" s="20">
        <f t="shared" si="4"/>
        <v>7.9024999999999998E-2</v>
      </c>
      <c r="I112" s="21">
        <f t="shared" si="5"/>
        <v>20799.617074999998</v>
      </c>
    </row>
    <row r="113" spans="1:9" x14ac:dyDescent="0.35">
      <c r="A113" s="17">
        <v>44596</v>
      </c>
      <c r="B113">
        <v>7.7100000000000002E-2</v>
      </c>
      <c r="C113">
        <v>8.2400000000000001E-2</v>
      </c>
      <c r="D113">
        <v>7.6700000000000004E-2</v>
      </c>
      <c r="E113">
        <v>7.9200000000000007E-2</v>
      </c>
      <c r="F113">
        <v>653282</v>
      </c>
      <c r="G113" s="20">
        <f t="shared" si="3"/>
        <v>7.8850000000000003E-2</v>
      </c>
      <c r="H113" s="20">
        <f t="shared" si="4"/>
        <v>7.8850000000000003E-2</v>
      </c>
      <c r="I113" s="21">
        <f t="shared" si="5"/>
        <v>51511.2857</v>
      </c>
    </row>
    <row r="114" spans="1:9" x14ac:dyDescent="0.35">
      <c r="A114" s="17">
        <v>44597</v>
      </c>
      <c r="B114">
        <v>0.08</v>
      </c>
      <c r="C114">
        <v>0.08</v>
      </c>
      <c r="D114">
        <v>7.1599999999999997E-2</v>
      </c>
      <c r="E114">
        <v>0.08</v>
      </c>
      <c r="F114">
        <v>955413</v>
      </c>
      <c r="G114" s="20">
        <f t="shared" si="3"/>
        <v>7.7899999999999997E-2</v>
      </c>
      <c r="H114" s="20">
        <f t="shared" si="4"/>
        <v>7.7899999999999997E-2</v>
      </c>
      <c r="I114" s="21">
        <f t="shared" si="5"/>
        <v>74426.672699999996</v>
      </c>
    </row>
    <row r="115" spans="1:9" x14ac:dyDescent="0.35">
      <c r="A115" s="17">
        <v>44600</v>
      </c>
      <c r="B115">
        <v>0.08</v>
      </c>
      <c r="C115">
        <v>8.48E-2</v>
      </c>
      <c r="D115">
        <v>7.4999999999999997E-2</v>
      </c>
      <c r="E115">
        <v>8.2500000000000004E-2</v>
      </c>
      <c r="F115">
        <v>2053030</v>
      </c>
      <c r="G115" s="20">
        <f t="shared" si="3"/>
        <v>8.0575000000000008E-2</v>
      </c>
      <c r="H115" s="20">
        <f t="shared" si="4"/>
        <v>8.0575000000000008E-2</v>
      </c>
      <c r="I115" s="21">
        <f t="shared" si="5"/>
        <v>165422.89225</v>
      </c>
    </row>
    <row r="116" spans="1:9" x14ac:dyDescent="0.35">
      <c r="A116" s="17">
        <v>44601</v>
      </c>
      <c r="B116">
        <v>8.48E-2</v>
      </c>
      <c r="C116">
        <v>8.48E-2</v>
      </c>
      <c r="D116">
        <v>7.6999999999999999E-2</v>
      </c>
      <c r="E116">
        <v>8.3000000000000004E-2</v>
      </c>
      <c r="F116">
        <v>1097852</v>
      </c>
      <c r="G116" s="20">
        <f t="shared" si="3"/>
        <v>8.2400000000000001E-2</v>
      </c>
      <c r="H116" s="20">
        <f t="shared" si="4"/>
        <v>8.2400000000000001E-2</v>
      </c>
      <c r="I116" s="21">
        <f t="shared" si="5"/>
        <v>90463.004799999995</v>
      </c>
    </row>
    <row r="117" spans="1:9" x14ac:dyDescent="0.35">
      <c r="A117" s="17">
        <v>44602</v>
      </c>
      <c r="B117">
        <v>8.3900000000000002E-2</v>
      </c>
      <c r="C117">
        <v>8.3900000000000002E-2</v>
      </c>
      <c r="D117">
        <v>7.5999999999999998E-2</v>
      </c>
      <c r="E117">
        <v>8.0199999999999994E-2</v>
      </c>
      <c r="F117">
        <v>934446</v>
      </c>
      <c r="G117" s="20">
        <f t="shared" si="3"/>
        <v>8.1000000000000003E-2</v>
      </c>
      <c r="H117" s="20">
        <f t="shared" si="4"/>
        <v>8.1000000000000003E-2</v>
      </c>
      <c r="I117" s="21">
        <f t="shared" si="5"/>
        <v>75690.126000000004</v>
      </c>
    </row>
    <row r="118" spans="1:9" x14ac:dyDescent="0.35">
      <c r="A118" s="17">
        <v>44603</v>
      </c>
      <c r="B118">
        <v>8.2000000000000003E-2</v>
      </c>
      <c r="C118">
        <v>8.2000000000000003E-2</v>
      </c>
      <c r="D118">
        <v>7.9000000000000001E-2</v>
      </c>
      <c r="E118">
        <v>7.9000000000000001E-2</v>
      </c>
      <c r="F118">
        <v>466561</v>
      </c>
      <c r="G118" s="20">
        <f t="shared" si="3"/>
        <v>8.0500000000000002E-2</v>
      </c>
      <c r="H118" s="20">
        <f t="shared" si="4"/>
        <v>8.0500000000000002E-2</v>
      </c>
      <c r="I118" s="21">
        <f t="shared" si="5"/>
        <v>37558.160499999998</v>
      </c>
    </row>
    <row r="119" spans="1:9" x14ac:dyDescent="0.35">
      <c r="A119" s="17">
        <v>44604</v>
      </c>
      <c r="B119">
        <v>8.2000000000000003E-2</v>
      </c>
      <c r="C119">
        <v>8.2000000000000003E-2</v>
      </c>
      <c r="D119">
        <v>7.6399999999999996E-2</v>
      </c>
      <c r="E119">
        <v>8.0500000000000002E-2</v>
      </c>
      <c r="F119">
        <v>559984</v>
      </c>
      <c r="G119" s="20">
        <f t="shared" si="3"/>
        <v>8.0225000000000005E-2</v>
      </c>
      <c r="H119" s="20">
        <f t="shared" si="4"/>
        <v>8.0225000000000005E-2</v>
      </c>
      <c r="I119" s="21">
        <f t="shared" si="5"/>
        <v>44924.716400000005</v>
      </c>
    </row>
    <row r="120" spans="1:9" x14ac:dyDescent="0.35">
      <c r="A120" s="17">
        <v>44608</v>
      </c>
      <c r="B120">
        <v>8.3900000000000002E-2</v>
      </c>
      <c r="C120">
        <v>0.09</v>
      </c>
      <c r="D120">
        <v>8.0500000000000002E-2</v>
      </c>
      <c r="E120">
        <v>8.9899999999999994E-2</v>
      </c>
      <c r="F120">
        <v>6379581</v>
      </c>
      <c r="G120" s="20">
        <f t="shared" si="3"/>
        <v>8.6074999999999999E-2</v>
      </c>
      <c r="H120" s="20">
        <f t="shared" si="4"/>
        <v>8.6074999999999999E-2</v>
      </c>
      <c r="I120" s="21">
        <f t="shared" si="5"/>
        <v>549122.43457499996</v>
      </c>
    </row>
    <row r="121" spans="1:9" x14ac:dyDescent="0.35">
      <c r="A121" s="17">
        <v>44609</v>
      </c>
      <c r="B121">
        <v>0.09</v>
      </c>
      <c r="C121">
        <v>0.1</v>
      </c>
      <c r="D121">
        <v>8.2600000000000007E-2</v>
      </c>
      <c r="E121">
        <v>8.6300000000000002E-2</v>
      </c>
      <c r="F121">
        <v>3325134</v>
      </c>
      <c r="G121" s="20">
        <f t="shared" si="3"/>
        <v>8.9725000000000013E-2</v>
      </c>
      <c r="H121" s="20">
        <f t="shared" si="4"/>
        <v>8.9724999999999999E-2</v>
      </c>
      <c r="I121" s="21">
        <f t="shared" si="5"/>
        <v>298347.64815000002</v>
      </c>
    </row>
    <row r="122" spans="1:9" x14ac:dyDescent="0.35">
      <c r="A122" s="17">
        <v>44610</v>
      </c>
      <c r="B122">
        <v>8.7999999999999995E-2</v>
      </c>
      <c r="C122">
        <v>0.1033</v>
      </c>
      <c r="D122">
        <v>8.5000000000000006E-2</v>
      </c>
      <c r="E122">
        <v>9.3600000000000003E-2</v>
      </c>
      <c r="F122">
        <v>2498638</v>
      </c>
      <c r="G122" s="20">
        <f t="shared" si="3"/>
        <v>9.2475000000000002E-2</v>
      </c>
      <c r="H122" s="20">
        <f t="shared" si="4"/>
        <v>9.2475000000000002E-2</v>
      </c>
      <c r="I122" s="21">
        <f t="shared" si="5"/>
        <v>231061.54905</v>
      </c>
    </row>
    <row r="123" spans="1:9" x14ac:dyDescent="0.35">
      <c r="A123" s="17">
        <v>44611</v>
      </c>
      <c r="B123">
        <v>0.1047</v>
      </c>
      <c r="C123">
        <v>0.109</v>
      </c>
      <c r="D123">
        <v>9.4E-2</v>
      </c>
      <c r="E123">
        <v>0.1075</v>
      </c>
      <c r="F123">
        <v>4140620</v>
      </c>
      <c r="G123" s="20">
        <f t="shared" si="3"/>
        <v>0.10379999999999999</v>
      </c>
      <c r="H123" s="20">
        <f t="shared" si="4"/>
        <v>0.10379999999999999</v>
      </c>
      <c r="I123" s="21">
        <f t="shared" si="5"/>
        <v>429796.35599999997</v>
      </c>
    </row>
    <row r="124" spans="1:9" x14ac:dyDescent="0.35">
      <c r="A124" s="17">
        <v>44614</v>
      </c>
      <c r="B124">
        <v>0.115</v>
      </c>
      <c r="C124">
        <v>0.13100000000000001</v>
      </c>
      <c r="D124">
        <v>0.112</v>
      </c>
      <c r="E124">
        <v>0.13100000000000001</v>
      </c>
      <c r="F124">
        <v>12167130</v>
      </c>
      <c r="G124" s="20">
        <f t="shared" si="3"/>
        <v>0.12225000000000001</v>
      </c>
      <c r="H124" s="20">
        <f t="shared" si="4"/>
        <v>0.12225</v>
      </c>
      <c r="I124" s="21">
        <f t="shared" si="5"/>
        <v>1487431.6425000001</v>
      </c>
    </row>
    <row r="125" spans="1:9" x14ac:dyDescent="0.35">
      <c r="A125" s="17">
        <v>44615</v>
      </c>
      <c r="B125">
        <v>0.1285</v>
      </c>
      <c r="C125">
        <v>0.14979999999999999</v>
      </c>
      <c r="D125">
        <v>0.115</v>
      </c>
      <c r="E125">
        <v>0.14779999999999999</v>
      </c>
      <c r="F125">
        <v>10329350</v>
      </c>
      <c r="G125" s="20">
        <f t="shared" si="3"/>
        <v>0.13527499999999998</v>
      </c>
      <c r="H125" s="20">
        <f t="shared" si="4"/>
        <v>0.13527499999999998</v>
      </c>
      <c r="I125" s="21">
        <f t="shared" si="5"/>
        <v>1397302.8212499998</v>
      </c>
    </row>
    <row r="126" spans="1:9" x14ac:dyDescent="0.35">
      <c r="A126" s="17">
        <v>44616</v>
      </c>
      <c r="B126">
        <v>0.15140000000000001</v>
      </c>
      <c r="C126">
        <v>0.15140000000000001</v>
      </c>
      <c r="D126">
        <v>0.1125</v>
      </c>
      <c r="E126">
        <v>0.1409</v>
      </c>
      <c r="F126">
        <v>7705375</v>
      </c>
      <c r="G126" s="20">
        <f t="shared" si="3"/>
        <v>0.13905000000000001</v>
      </c>
      <c r="H126" s="20">
        <f t="shared" si="4"/>
        <v>0.13905000000000001</v>
      </c>
      <c r="I126" s="21">
        <f t="shared" si="5"/>
        <v>1071432.39375</v>
      </c>
    </row>
    <row r="127" spans="1:9" x14ac:dyDescent="0.35">
      <c r="A127" s="17">
        <v>44617</v>
      </c>
      <c r="B127">
        <v>0.14399999999999999</v>
      </c>
      <c r="C127">
        <v>0.15</v>
      </c>
      <c r="D127">
        <v>0.13719999999999999</v>
      </c>
      <c r="E127">
        <v>0.1474</v>
      </c>
      <c r="F127">
        <v>5414511</v>
      </c>
      <c r="G127" s="20">
        <f t="shared" si="3"/>
        <v>0.14465</v>
      </c>
      <c r="H127" s="20">
        <f t="shared" si="4"/>
        <v>0.14465</v>
      </c>
      <c r="I127" s="21">
        <f t="shared" si="5"/>
        <v>783209.01615000004</v>
      </c>
    </row>
    <row r="128" spans="1:9" x14ac:dyDescent="0.35">
      <c r="A128" s="17">
        <v>44618</v>
      </c>
      <c r="B128">
        <v>0.14849999999999999</v>
      </c>
      <c r="C128">
        <v>0.14849999999999999</v>
      </c>
      <c r="D128">
        <v>0.1401</v>
      </c>
      <c r="E128">
        <v>0.1401</v>
      </c>
      <c r="F128">
        <v>2073806</v>
      </c>
      <c r="G128" s="20">
        <f t="shared" si="3"/>
        <v>0.14429999999999998</v>
      </c>
      <c r="H128" s="20">
        <f t="shared" si="4"/>
        <v>0.14429999999999998</v>
      </c>
      <c r="I128" s="21">
        <f t="shared" si="5"/>
        <v>299250.20579999994</v>
      </c>
    </row>
    <row r="129" spans="1:9" x14ac:dyDescent="0.35">
      <c r="A129" s="17">
        <v>44621</v>
      </c>
      <c r="B129">
        <v>0.1467</v>
      </c>
      <c r="C129">
        <v>0.1467</v>
      </c>
      <c r="D129">
        <v>0.13350000000000001</v>
      </c>
      <c r="E129">
        <v>0.13589999999999999</v>
      </c>
      <c r="F129">
        <v>2537270</v>
      </c>
      <c r="G129" s="20">
        <f t="shared" si="3"/>
        <v>0.14069999999999999</v>
      </c>
      <c r="H129" s="20">
        <f t="shared" si="4"/>
        <v>0.14069999999999999</v>
      </c>
      <c r="I129" s="21">
        <f t="shared" si="5"/>
        <v>356993.88899999997</v>
      </c>
    </row>
    <row r="130" spans="1:9" x14ac:dyDescent="0.35">
      <c r="A130" s="17">
        <v>44622</v>
      </c>
      <c r="B130">
        <v>0.13619999999999999</v>
      </c>
      <c r="C130">
        <v>0.1399</v>
      </c>
      <c r="D130">
        <v>0.12659999999999999</v>
      </c>
      <c r="E130">
        <v>0.127</v>
      </c>
      <c r="F130">
        <v>1790770</v>
      </c>
      <c r="G130" s="20">
        <f t="shared" si="3"/>
        <v>0.13242500000000001</v>
      </c>
      <c r="H130" s="20">
        <f t="shared" si="4"/>
        <v>0.13242500000000001</v>
      </c>
      <c r="I130" s="21">
        <f t="shared" si="5"/>
        <v>237142.71725000002</v>
      </c>
    </row>
    <row r="131" spans="1:9" x14ac:dyDescent="0.35">
      <c r="A131" s="13">
        <v>44623</v>
      </c>
      <c r="B131" s="1">
        <v>0.128</v>
      </c>
      <c r="C131" s="1">
        <v>0.128</v>
      </c>
      <c r="D131" s="1">
        <v>0.114</v>
      </c>
      <c r="E131" s="1">
        <v>0.1144</v>
      </c>
      <c r="F131" s="1">
        <v>5741986</v>
      </c>
      <c r="G131" s="20">
        <f t="shared" ref="G131:G136" si="6">(AVERAGE(B131:E131)*F131)/F131</f>
        <v>0.1211</v>
      </c>
      <c r="H131" s="20">
        <f t="shared" ref="H131:H136" si="7">AVERAGE(B131:E131)</f>
        <v>0.1211</v>
      </c>
      <c r="I131" s="21">
        <f t="shared" ref="I131:I136" si="8">F131*AVERAGE(B131:E131)</f>
        <v>695354.50459999999</v>
      </c>
    </row>
    <row r="132" spans="1:9" x14ac:dyDescent="0.35">
      <c r="A132" s="13"/>
      <c r="B132" s="1"/>
      <c r="C132" s="1"/>
      <c r="D132" s="1"/>
      <c r="E132" s="1"/>
      <c r="F132" s="1"/>
      <c r="G132" s="20" t="e">
        <f t="shared" si="6"/>
        <v>#DIV/0!</v>
      </c>
      <c r="H132" s="20" t="e">
        <f t="shared" si="7"/>
        <v>#DIV/0!</v>
      </c>
      <c r="I132" s="21" t="e">
        <f t="shared" si="8"/>
        <v>#DIV/0!</v>
      </c>
    </row>
    <row r="133" spans="1:9" x14ac:dyDescent="0.35">
      <c r="G133" s="20" t="e">
        <f t="shared" si="6"/>
        <v>#DIV/0!</v>
      </c>
      <c r="H133" s="20" t="e">
        <f t="shared" si="7"/>
        <v>#DIV/0!</v>
      </c>
      <c r="I133" s="21" t="e">
        <f t="shared" si="8"/>
        <v>#DIV/0!</v>
      </c>
    </row>
    <row r="134" spans="1:9" x14ac:dyDescent="0.35">
      <c r="G134" s="20" t="e">
        <f t="shared" si="6"/>
        <v>#DIV/0!</v>
      </c>
      <c r="H134" s="20" t="e">
        <f t="shared" si="7"/>
        <v>#DIV/0!</v>
      </c>
      <c r="I134" s="21" t="e">
        <f t="shared" si="8"/>
        <v>#DIV/0!</v>
      </c>
    </row>
    <row r="135" spans="1:9" x14ac:dyDescent="0.35">
      <c r="G135" s="20" t="e">
        <f t="shared" si="6"/>
        <v>#DIV/0!</v>
      </c>
      <c r="H135" s="20" t="e">
        <f t="shared" si="7"/>
        <v>#DIV/0!</v>
      </c>
      <c r="I135" s="21" t="e">
        <f t="shared" si="8"/>
        <v>#DIV/0!</v>
      </c>
    </row>
    <row r="136" spans="1:9" x14ac:dyDescent="0.35">
      <c r="G136" s="20" t="e">
        <f t="shared" si="6"/>
        <v>#DIV/0!</v>
      </c>
      <c r="H136" s="20" t="e">
        <f t="shared" si="7"/>
        <v>#DIV/0!</v>
      </c>
      <c r="I136" s="21" t="e">
        <f t="shared" si="8"/>
        <v>#DIV/0!</v>
      </c>
    </row>
  </sheetData>
  <conditionalFormatting sqref="I8:I136">
    <cfRule type="colorScale" priority="1">
      <colorScale>
        <cfvo type="min"/>
        <cfvo type="percentile" val="50"/>
        <cfvo type="max"/>
        <color rgb="FFF8696B"/>
        <color rgb="FFFFEB84"/>
        <color rgb="FF63BE7B"/>
      </colorScale>
    </cfRule>
  </conditionalFormatting>
  <pageMargins left="0.7" right="0.7" top="0.75" bottom="0.75" header="0.3" footer="0.3"/>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2:G146"/>
  <sheetViews>
    <sheetView workbookViewId="0">
      <selection activeCell="E2" sqref="E2"/>
    </sheetView>
  </sheetViews>
  <sheetFormatPr defaultColWidth="8.81640625" defaultRowHeight="14.5" x14ac:dyDescent="0.35"/>
  <cols>
    <col min="1" max="1" width="10.453125" bestFit="1" customWidth="1"/>
    <col min="3" max="3" width="12.1796875" bestFit="1" customWidth="1"/>
    <col min="5" max="5" width="9.453125" bestFit="1" customWidth="1"/>
    <col min="6" max="6" width="12.453125" bestFit="1" customWidth="1"/>
    <col min="7" max="7" width="11.81640625" bestFit="1" customWidth="1"/>
  </cols>
  <sheetData>
    <row r="2" spans="1:7" x14ac:dyDescent="0.35">
      <c r="A2" t="s">
        <v>48</v>
      </c>
      <c r="B2" t="s">
        <v>49</v>
      </c>
      <c r="C2" t="s">
        <v>2</v>
      </c>
      <c r="E2" t="s">
        <v>48</v>
      </c>
      <c r="F2" t="s">
        <v>49</v>
      </c>
      <c r="G2" t="s">
        <v>2</v>
      </c>
    </row>
    <row r="3" spans="1:7" x14ac:dyDescent="0.35">
      <c r="A3" s="17">
        <f>Data!A8</f>
        <v>44443</v>
      </c>
      <c r="B3" s="2">
        <f>Data!H8</f>
        <v>8.1949999999999995E-2</v>
      </c>
      <c r="C3" s="2">
        <f>Data!I8</f>
        <v>62957.923599999995</v>
      </c>
      <c r="E3" s="17">
        <f>Data!A109</f>
        <v>44590</v>
      </c>
      <c r="F3" s="2">
        <f>Data!H109</f>
        <v>8.030000000000001E-2</v>
      </c>
      <c r="G3" s="24">
        <f>Data!I109</f>
        <v>46868.781300000002</v>
      </c>
    </row>
    <row r="4" spans="1:7" x14ac:dyDescent="0.35">
      <c r="A4" s="17">
        <f>Data!A9</f>
        <v>44446</v>
      </c>
      <c r="B4" s="2">
        <f>Data!H9</f>
        <v>8.2900000000000001E-2</v>
      </c>
      <c r="C4" s="2">
        <f>Data!I9</f>
        <v>138309.69680000001</v>
      </c>
      <c r="E4" s="17">
        <f>Data!A110</f>
        <v>44593</v>
      </c>
      <c r="F4" s="2">
        <f>Data!H110</f>
        <v>8.3274999999999988E-2</v>
      </c>
      <c r="G4" s="24">
        <f>Data!I110</f>
        <v>136645.53112499998</v>
      </c>
    </row>
    <row r="5" spans="1:7" x14ac:dyDescent="0.35">
      <c r="A5" s="17">
        <f>Data!A10</f>
        <v>44447</v>
      </c>
      <c r="B5" s="2">
        <f>Data!H10</f>
        <v>8.1625000000000003E-2</v>
      </c>
      <c r="C5" s="2">
        <f>Data!I10</f>
        <v>91693.280500000008</v>
      </c>
      <c r="E5" s="17">
        <f>Data!A111</f>
        <v>44594</v>
      </c>
      <c r="F5" s="2">
        <f>Data!H111</f>
        <v>7.980000000000001E-2</v>
      </c>
      <c r="G5" s="24">
        <f>Data!I111</f>
        <v>118958.89740000002</v>
      </c>
    </row>
    <row r="6" spans="1:7" x14ac:dyDescent="0.35">
      <c r="A6" s="17">
        <f>Data!A11</f>
        <v>44448</v>
      </c>
      <c r="B6" s="2">
        <f>Data!H11</f>
        <v>8.2125000000000004E-2</v>
      </c>
      <c r="C6" s="2">
        <f>Data!I11</f>
        <v>43143.547500000001</v>
      </c>
      <c r="E6" s="17">
        <f>Data!A112</f>
        <v>44595</v>
      </c>
      <c r="F6" s="2">
        <f>Data!H112</f>
        <v>7.9024999999999998E-2</v>
      </c>
      <c r="G6" s="24">
        <f>Data!I112</f>
        <v>20799.617074999998</v>
      </c>
    </row>
    <row r="7" spans="1:7" x14ac:dyDescent="0.35">
      <c r="A7" s="17">
        <f>Data!A12</f>
        <v>44449</v>
      </c>
      <c r="B7" s="2">
        <f>Data!H12</f>
        <v>8.2225000000000006E-2</v>
      </c>
      <c r="C7" s="2">
        <f>Data!I12</f>
        <v>88472.29105</v>
      </c>
      <c r="E7" s="17">
        <f>Data!A113</f>
        <v>44596</v>
      </c>
      <c r="F7" s="2">
        <f>Data!H113</f>
        <v>7.8850000000000003E-2</v>
      </c>
      <c r="G7" s="24">
        <f>Data!I113</f>
        <v>51511.2857</v>
      </c>
    </row>
    <row r="8" spans="1:7" x14ac:dyDescent="0.35">
      <c r="A8" s="17">
        <f>Data!A13</f>
        <v>44450</v>
      </c>
      <c r="B8" s="2">
        <f>Data!H13</f>
        <v>8.307500000000001E-2</v>
      </c>
      <c r="C8" s="2">
        <f>Data!I13</f>
        <v>26147.357800000002</v>
      </c>
      <c r="E8" s="17">
        <f>Data!A114</f>
        <v>44597</v>
      </c>
      <c r="F8" s="2">
        <f>Data!H114</f>
        <v>7.7899999999999997E-2</v>
      </c>
      <c r="G8" s="24">
        <f>Data!I114</f>
        <v>74426.672699999996</v>
      </c>
    </row>
    <row r="9" spans="1:7" x14ac:dyDescent="0.35">
      <c r="A9" s="17">
        <f>Data!A14</f>
        <v>44453</v>
      </c>
      <c r="B9" s="2">
        <f>Data!H14</f>
        <v>8.3674999999999999E-2</v>
      </c>
      <c r="C9" s="2">
        <f>Data!I14</f>
        <v>146683.44644999999</v>
      </c>
      <c r="E9" s="17">
        <f>Data!A115</f>
        <v>44600</v>
      </c>
      <c r="F9" s="2">
        <f>Data!H115</f>
        <v>8.0575000000000008E-2</v>
      </c>
      <c r="G9" s="24">
        <f>Data!I115</f>
        <v>165422.89225</v>
      </c>
    </row>
    <row r="10" spans="1:7" x14ac:dyDescent="0.35">
      <c r="A10" s="17">
        <f>Data!A15</f>
        <v>44454</v>
      </c>
      <c r="B10" s="2">
        <f>Data!H15</f>
        <v>8.3174999999999999E-2</v>
      </c>
      <c r="C10" s="2">
        <f>Data!I15</f>
        <v>119993.2455</v>
      </c>
      <c r="E10" s="17">
        <f>Data!A116</f>
        <v>44601</v>
      </c>
      <c r="F10" s="2">
        <f>Data!H116</f>
        <v>8.2400000000000001E-2</v>
      </c>
      <c r="G10" s="24">
        <f>Data!I116</f>
        <v>90463.004799999995</v>
      </c>
    </row>
    <row r="11" spans="1:7" x14ac:dyDescent="0.35">
      <c r="A11" s="17">
        <f>Data!A16</f>
        <v>44455</v>
      </c>
      <c r="B11" s="2">
        <f>Data!H16</f>
        <v>8.3400000000000002E-2</v>
      </c>
      <c r="C11" s="2">
        <f>Data!I16</f>
        <v>46196.761200000001</v>
      </c>
      <c r="E11" s="17">
        <f>Data!A117</f>
        <v>44602</v>
      </c>
      <c r="F11" s="2">
        <f>Data!H117</f>
        <v>8.1000000000000003E-2</v>
      </c>
      <c r="G11" s="24">
        <f>Data!I117</f>
        <v>75690.126000000004</v>
      </c>
    </row>
    <row r="12" spans="1:7" x14ac:dyDescent="0.35">
      <c r="A12" s="17">
        <f>Data!A17</f>
        <v>44456</v>
      </c>
      <c r="B12" s="2">
        <f>Data!H17</f>
        <v>8.2699999999999996E-2</v>
      </c>
      <c r="C12" s="2">
        <f>Data!I17</f>
        <v>94260.963799999998</v>
      </c>
      <c r="E12" s="17">
        <f>Data!A118</f>
        <v>44603</v>
      </c>
      <c r="F12" s="2">
        <f>Data!H118</f>
        <v>8.0500000000000002E-2</v>
      </c>
      <c r="G12" s="24">
        <f>Data!I118</f>
        <v>37558.160499999998</v>
      </c>
    </row>
    <row r="13" spans="1:7" x14ac:dyDescent="0.35">
      <c r="A13" s="17">
        <f>Data!A18</f>
        <v>44457</v>
      </c>
      <c r="B13" s="2">
        <f>Data!H18</f>
        <v>8.4875000000000006E-2</v>
      </c>
      <c r="C13" s="2">
        <f>Data!I18</f>
        <v>163234.40087500002</v>
      </c>
      <c r="E13" s="17">
        <f>Data!A119</f>
        <v>44604</v>
      </c>
      <c r="F13" s="2">
        <f>Data!H119</f>
        <v>8.0225000000000005E-2</v>
      </c>
      <c r="G13" s="24">
        <f>Data!I119</f>
        <v>44924.716400000005</v>
      </c>
    </row>
    <row r="14" spans="1:7" x14ac:dyDescent="0.35">
      <c r="A14" s="17">
        <f>Data!A19</f>
        <v>44460</v>
      </c>
      <c r="B14" s="2">
        <f>Data!H19</f>
        <v>8.7499999999999994E-2</v>
      </c>
      <c r="C14" s="2">
        <f>Data!I19</f>
        <v>141098.47499999998</v>
      </c>
      <c r="E14" s="17">
        <f>Data!A120</f>
        <v>44608</v>
      </c>
      <c r="F14" s="2">
        <f>Data!H120</f>
        <v>8.6074999999999999E-2</v>
      </c>
      <c r="G14" s="24">
        <f>Data!I120</f>
        <v>549122.43457499996</v>
      </c>
    </row>
    <row r="15" spans="1:7" x14ac:dyDescent="0.35">
      <c r="A15" s="17">
        <f>Data!A20</f>
        <v>44461</v>
      </c>
      <c r="B15" s="2">
        <f>Data!H20</f>
        <v>9.0024999999999994E-2</v>
      </c>
      <c r="C15" s="2">
        <f>Data!I20</f>
        <v>105720.3186</v>
      </c>
      <c r="E15" s="17">
        <f>Data!A121</f>
        <v>44609</v>
      </c>
      <c r="F15" s="2">
        <f>Data!H121</f>
        <v>8.9724999999999999E-2</v>
      </c>
      <c r="G15" s="24">
        <f>Data!I121</f>
        <v>298347.64815000002</v>
      </c>
    </row>
    <row r="16" spans="1:7" x14ac:dyDescent="0.35">
      <c r="A16" s="17">
        <f>Data!A21</f>
        <v>44462</v>
      </c>
      <c r="B16" s="2">
        <f>Data!H21</f>
        <v>9.7474999999999992E-2</v>
      </c>
      <c r="C16" s="2">
        <f>Data!I21</f>
        <v>182507.99857499998</v>
      </c>
      <c r="E16" s="17">
        <f>Data!A122</f>
        <v>44610</v>
      </c>
      <c r="F16" s="2">
        <f>Data!H122</f>
        <v>9.2475000000000002E-2</v>
      </c>
      <c r="G16" s="24">
        <f>Data!I122</f>
        <v>231061.54905</v>
      </c>
    </row>
    <row r="17" spans="1:7" x14ac:dyDescent="0.35">
      <c r="A17" s="17">
        <f>Data!A22</f>
        <v>44463</v>
      </c>
      <c r="B17" s="2">
        <f>Data!H22</f>
        <v>0.1123</v>
      </c>
      <c r="C17" s="2">
        <f>Data!I22</f>
        <v>621100.64209999994</v>
      </c>
      <c r="E17" s="17">
        <f>Data!A123</f>
        <v>44611</v>
      </c>
      <c r="F17" s="2">
        <f>Data!H123</f>
        <v>0.10379999999999999</v>
      </c>
      <c r="G17" s="24">
        <f>Data!I123</f>
        <v>429796.35599999997</v>
      </c>
    </row>
    <row r="18" spans="1:7" x14ac:dyDescent="0.35">
      <c r="A18" s="17">
        <f>Data!A23</f>
        <v>44464</v>
      </c>
      <c r="B18" s="2">
        <f>Data!H23</f>
        <v>0.106125</v>
      </c>
      <c r="C18" s="2">
        <f>Data!I23</f>
        <v>219880.81200000001</v>
      </c>
      <c r="E18" s="17">
        <f>Data!A124</f>
        <v>44614</v>
      </c>
      <c r="F18" s="2">
        <f>Data!H124</f>
        <v>0.12225</v>
      </c>
      <c r="G18" s="24">
        <f>Data!I124</f>
        <v>1487431.6425000001</v>
      </c>
    </row>
    <row r="19" spans="1:7" x14ac:dyDescent="0.35">
      <c r="A19" s="17">
        <f>Data!A24</f>
        <v>44467</v>
      </c>
      <c r="B19" s="2">
        <f>Data!H24</f>
        <v>9.5849999999999991E-2</v>
      </c>
      <c r="C19" s="2">
        <f>Data!I24</f>
        <v>180421.33049999998</v>
      </c>
      <c r="E19" s="17">
        <f>Data!A125</f>
        <v>44615</v>
      </c>
      <c r="F19" s="2">
        <f>Data!H125</f>
        <v>0.13527499999999998</v>
      </c>
      <c r="G19" s="24">
        <f>Data!I125</f>
        <v>1397302.8212499998</v>
      </c>
    </row>
    <row r="20" spans="1:7" x14ac:dyDescent="0.35">
      <c r="A20" s="17">
        <f>Data!A25</f>
        <v>44468</v>
      </c>
      <c r="B20" s="2">
        <f>Data!H25</f>
        <v>9.0299999999999991E-2</v>
      </c>
      <c r="C20" s="2">
        <f>Data!I25</f>
        <v>190804.17089999997</v>
      </c>
      <c r="E20" s="17">
        <f>Data!A126</f>
        <v>44616</v>
      </c>
      <c r="F20" s="2">
        <f>Data!H126</f>
        <v>0.13905000000000001</v>
      </c>
      <c r="G20" s="24">
        <f>Data!I126</f>
        <v>1071432.39375</v>
      </c>
    </row>
    <row r="21" spans="1:7" x14ac:dyDescent="0.35">
      <c r="A21" s="17">
        <f>Data!A26</f>
        <v>44469</v>
      </c>
      <c r="B21" s="2">
        <f>Data!H26</f>
        <v>8.6974999999999997E-2</v>
      </c>
      <c r="C21" s="2">
        <f>Data!I26</f>
        <v>49517.128850000001</v>
      </c>
      <c r="E21" s="17">
        <f>Data!A127</f>
        <v>44617</v>
      </c>
      <c r="F21" s="2">
        <f>Data!H127</f>
        <v>0.14465</v>
      </c>
      <c r="G21" s="24">
        <f>Data!I127</f>
        <v>783209.01615000004</v>
      </c>
    </row>
    <row r="22" spans="1:7" x14ac:dyDescent="0.35">
      <c r="A22" s="17">
        <f>Data!A27</f>
        <v>44470</v>
      </c>
      <c r="B22" s="2">
        <f>Data!H27</f>
        <v>9.1600000000000001E-2</v>
      </c>
      <c r="C22" s="2">
        <f>Data!I27</f>
        <v>79421.963199999998</v>
      </c>
      <c r="E22" s="17">
        <f>Data!A128</f>
        <v>44618</v>
      </c>
      <c r="F22" s="2">
        <f>Data!H128</f>
        <v>0.14429999999999998</v>
      </c>
      <c r="G22" s="24">
        <f>Data!I128</f>
        <v>299250.20579999994</v>
      </c>
    </row>
    <row r="23" spans="1:7" x14ac:dyDescent="0.35">
      <c r="A23" s="17">
        <f>Data!A28</f>
        <v>44471</v>
      </c>
      <c r="B23" s="2">
        <f>Data!H28</f>
        <v>8.9499999999999996E-2</v>
      </c>
      <c r="C23" s="2">
        <f>Data!I28</f>
        <v>103036.51699999999</v>
      </c>
      <c r="E23" s="17">
        <f>Data!A129</f>
        <v>44621</v>
      </c>
      <c r="F23" s="2">
        <f>Data!H129</f>
        <v>0.14069999999999999</v>
      </c>
      <c r="G23" s="24">
        <f>Data!I129</f>
        <v>356993.88899999997</v>
      </c>
    </row>
    <row r="24" spans="1:7" x14ac:dyDescent="0.35">
      <c r="A24" s="17">
        <f>Data!A29</f>
        <v>44474</v>
      </c>
      <c r="B24" s="2">
        <f>Data!H29</f>
        <v>9.4075000000000006E-2</v>
      </c>
      <c r="C24" s="2">
        <f>Data!I29</f>
        <v>89455.164900000003</v>
      </c>
      <c r="E24" s="17">
        <f>Data!A130</f>
        <v>44622</v>
      </c>
      <c r="F24" s="2">
        <f>Data!H130</f>
        <v>0.13242500000000001</v>
      </c>
      <c r="G24" s="24">
        <f>Data!I130</f>
        <v>237142.71725000002</v>
      </c>
    </row>
    <row r="25" spans="1:7" x14ac:dyDescent="0.35">
      <c r="A25" s="17">
        <f>Data!A30</f>
        <v>44475</v>
      </c>
      <c r="B25" s="2">
        <f>Data!H30</f>
        <v>9.6975000000000006E-2</v>
      </c>
      <c r="C25" s="2">
        <f>Data!I30</f>
        <v>207598.45545000001</v>
      </c>
      <c r="E25" s="17"/>
      <c r="F25" s="2"/>
      <c r="G25" s="24"/>
    </row>
    <row r="26" spans="1:7" x14ac:dyDescent="0.35">
      <c r="A26" s="17">
        <f>Data!A31</f>
        <v>44476</v>
      </c>
      <c r="B26" s="2">
        <f>Data!H31</f>
        <v>9.5000000000000001E-2</v>
      </c>
      <c r="C26" s="2">
        <f>Data!I31</f>
        <v>107456.11500000001</v>
      </c>
      <c r="E26" s="17"/>
      <c r="F26" s="2"/>
      <c r="G26" s="24"/>
    </row>
    <row r="27" spans="1:7" x14ac:dyDescent="0.35">
      <c r="A27" s="17">
        <f>Data!A32</f>
        <v>44477</v>
      </c>
      <c r="B27" s="2">
        <f>Data!H32</f>
        <v>9.5325000000000007E-2</v>
      </c>
      <c r="C27" s="2">
        <f>Data!I32</f>
        <v>69282.781950000004</v>
      </c>
    </row>
    <row r="28" spans="1:7" x14ac:dyDescent="0.35">
      <c r="A28" s="17">
        <f>Data!A33</f>
        <v>44478</v>
      </c>
      <c r="B28" s="2">
        <f>Data!H33</f>
        <v>9.4400000000000012E-2</v>
      </c>
      <c r="C28" s="2">
        <f>Data!I33</f>
        <v>48293.152000000009</v>
      </c>
    </row>
    <row r="29" spans="1:7" x14ac:dyDescent="0.35">
      <c r="A29" s="17">
        <f>Data!A34</f>
        <v>44481</v>
      </c>
      <c r="B29" s="2">
        <f>Data!H34</f>
        <v>9.1175000000000006E-2</v>
      </c>
      <c r="C29" s="2">
        <f>Data!I34</f>
        <v>94261.820800000001</v>
      </c>
    </row>
    <row r="30" spans="1:7" x14ac:dyDescent="0.35">
      <c r="A30" s="17">
        <f>Data!A35</f>
        <v>44482</v>
      </c>
      <c r="B30" s="2">
        <f>Data!H35</f>
        <v>9.2124999999999999E-2</v>
      </c>
      <c r="C30" s="2">
        <f>Data!I35</f>
        <v>116849.876</v>
      </c>
    </row>
    <row r="31" spans="1:7" x14ac:dyDescent="0.35">
      <c r="A31" s="17">
        <f>Data!A36</f>
        <v>44483</v>
      </c>
      <c r="B31" s="2">
        <f>Data!H36</f>
        <v>8.9774999999999994E-2</v>
      </c>
      <c r="C31" s="2">
        <f>Data!I36</f>
        <v>63140.642774999993</v>
      </c>
    </row>
    <row r="32" spans="1:7" x14ac:dyDescent="0.35">
      <c r="A32" s="17">
        <f>Data!A37</f>
        <v>44484</v>
      </c>
      <c r="B32" s="2">
        <f>Data!H37</f>
        <v>8.9950000000000002E-2</v>
      </c>
      <c r="C32" s="2">
        <f>Data!I37</f>
        <v>39575.301500000001</v>
      </c>
    </row>
    <row r="33" spans="1:3" x14ac:dyDescent="0.35">
      <c r="A33" s="17">
        <f>Data!A38</f>
        <v>44485</v>
      </c>
      <c r="B33" s="2">
        <f>Data!H38</f>
        <v>9.1524999999999995E-2</v>
      </c>
      <c r="C33" s="2">
        <f>Data!I38</f>
        <v>74240.046124999993</v>
      </c>
    </row>
    <row r="34" spans="1:3" x14ac:dyDescent="0.35">
      <c r="A34" s="17">
        <f>Data!A39</f>
        <v>44488</v>
      </c>
      <c r="B34" s="2">
        <f>Data!H39</f>
        <v>9.1374999999999998E-2</v>
      </c>
      <c r="C34" s="2">
        <f>Data!I39</f>
        <v>113379.19649999999</v>
      </c>
    </row>
    <row r="35" spans="1:3" x14ac:dyDescent="0.35">
      <c r="A35" s="17">
        <f>Data!A40</f>
        <v>44489</v>
      </c>
      <c r="B35" s="2">
        <f>Data!H40</f>
        <v>8.9599999999999985E-2</v>
      </c>
      <c r="C35" s="2">
        <f>Data!I40</f>
        <v>86534.06719999999</v>
      </c>
    </row>
    <row r="36" spans="1:3" x14ac:dyDescent="0.35">
      <c r="A36" s="17">
        <f>Data!A41</f>
        <v>44490</v>
      </c>
      <c r="B36" s="2">
        <f>Data!H41</f>
        <v>8.9874999999999997E-2</v>
      </c>
      <c r="C36" s="2">
        <f>Data!I41</f>
        <v>64526.115749999997</v>
      </c>
    </row>
    <row r="37" spans="1:3" x14ac:dyDescent="0.35">
      <c r="A37" s="17">
        <f>Data!A42</f>
        <v>44491</v>
      </c>
      <c r="B37" s="2">
        <f>Data!H42</f>
        <v>9.2674999999999993E-2</v>
      </c>
      <c r="C37" s="2">
        <f>Data!I42</f>
        <v>69899.748049999995</v>
      </c>
    </row>
    <row r="38" spans="1:3" x14ac:dyDescent="0.35">
      <c r="A38" s="17">
        <f>Data!A43</f>
        <v>44492</v>
      </c>
      <c r="B38" s="2">
        <f>Data!H43</f>
        <v>8.9799999999999991E-2</v>
      </c>
      <c r="C38" s="2">
        <f>Data!I43</f>
        <v>60523.044799999996</v>
      </c>
    </row>
    <row r="39" spans="1:3" x14ac:dyDescent="0.35">
      <c r="A39" s="17">
        <f>Data!A44</f>
        <v>44495</v>
      </c>
      <c r="B39" s="2">
        <f>Data!H44</f>
        <v>8.9499999999999996E-2</v>
      </c>
      <c r="C39" s="2">
        <f>Data!I44</f>
        <v>57170.183499999999</v>
      </c>
    </row>
    <row r="40" spans="1:3" x14ac:dyDescent="0.35">
      <c r="A40" s="17">
        <f>Data!A45</f>
        <v>44496</v>
      </c>
      <c r="B40" s="2">
        <f>Data!H45</f>
        <v>8.8775000000000007E-2</v>
      </c>
      <c r="C40" s="2">
        <f>Data!I45</f>
        <v>51438.898250000006</v>
      </c>
    </row>
    <row r="41" spans="1:3" x14ac:dyDescent="0.35">
      <c r="A41" s="17">
        <f>Data!A46</f>
        <v>44497</v>
      </c>
      <c r="B41" s="2">
        <f>Data!H46</f>
        <v>8.7249999999999994E-2</v>
      </c>
      <c r="C41" s="2">
        <f>Data!I46</f>
        <v>34611.115249999995</v>
      </c>
    </row>
    <row r="42" spans="1:3" x14ac:dyDescent="0.35">
      <c r="A42" s="17">
        <f>Data!A47</f>
        <v>44498</v>
      </c>
      <c r="B42" s="2">
        <f>Data!H47</f>
        <v>8.842499999999999E-2</v>
      </c>
      <c r="C42" s="2">
        <f>Data!I47</f>
        <v>87695.759024999992</v>
      </c>
    </row>
    <row r="43" spans="1:3" x14ac:dyDescent="0.35">
      <c r="A43" s="17">
        <f>Data!A48</f>
        <v>44499</v>
      </c>
      <c r="B43" s="2">
        <f>Data!H48</f>
        <v>8.8224999999999998E-2</v>
      </c>
      <c r="C43" s="2">
        <f>Data!I48</f>
        <v>27410.625250000001</v>
      </c>
    </row>
    <row r="44" spans="1:3" x14ac:dyDescent="0.35">
      <c r="A44" s="17">
        <f>Data!A49</f>
        <v>44502</v>
      </c>
      <c r="B44" s="2">
        <f>Data!H49</f>
        <v>8.8300000000000003E-2</v>
      </c>
      <c r="C44" s="2">
        <f>Data!I49</f>
        <v>153964.47160000002</v>
      </c>
    </row>
    <row r="45" spans="1:3" x14ac:dyDescent="0.35">
      <c r="A45" s="17">
        <f>Data!A50</f>
        <v>44503</v>
      </c>
      <c r="B45" s="2">
        <f>Data!H50</f>
        <v>8.6300000000000002E-2</v>
      </c>
      <c r="C45" s="2">
        <f>Data!I50</f>
        <v>75352.845000000001</v>
      </c>
    </row>
    <row r="46" spans="1:3" x14ac:dyDescent="0.35">
      <c r="A46" s="17">
        <f>Data!A51</f>
        <v>44504</v>
      </c>
      <c r="B46" s="2">
        <f>Data!H51</f>
        <v>8.6749999999999994E-2</v>
      </c>
      <c r="C46" s="2">
        <f>Data!I51</f>
        <v>43513.713249999993</v>
      </c>
    </row>
    <row r="47" spans="1:3" x14ac:dyDescent="0.35">
      <c r="A47" s="17">
        <f>Data!A52</f>
        <v>44505</v>
      </c>
      <c r="B47" s="2">
        <f>Data!H52</f>
        <v>8.7800000000000003E-2</v>
      </c>
      <c r="C47" s="2">
        <f>Data!I52</f>
        <v>124436.13040000001</v>
      </c>
    </row>
    <row r="48" spans="1:3" x14ac:dyDescent="0.35">
      <c r="A48" s="17">
        <f>Data!A53</f>
        <v>44506</v>
      </c>
      <c r="B48" s="2">
        <f>Data!H53</f>
        <v>9.0474999999999986E-2</v>
      </c>
      <c r="C48" s="2">
        <f>Data!I53</f>
        <v>74679.422124999983</v>
      </c>
    </row>
    <row r="49" spans="1:3" x14ac:dyDescent="0.35">
      <c r="A49" s="17">
        <f>Data!A54</f>
        <v>44509</v>
      </c>
      <c r="B49" s="2">
        <f>Data!H54</f>
        <v>9.0975E-2</v>
      </c>
      <c r="C49" s="2">
        <f>Data!I54</f>
        <v>60351.814274999997</v>
      </c>
    </row>
    <row r="50" spans="1:3" x14ac:dyDescent="0.35">
      <c r="A50" s="17">
        <f>Data!A55</f>
        <v>44510</v>
      </c>
      <c r="B50" s="2">
        <f>Data!H55</f>
        <v>8.5074999999999998E-2</v>
      </c>
      <c r="C50" s="2">
        <f>Data!I55</f>
        <v>73569.286850000004</v>
      </c>
    </row>
    <row r="51" spans="1:3" x14ac:dyDescent="0.35">
      <c r="A51" s="17">
        <f>Data!A56</f>
        <v>44511</v>
      </c>
      <c r="B51" s="2">
        <f>Data!H56</f>
        <v>8.7849999999999998E-2</v>
      </c>
      <c r="C51" s="2">
        <f>Data!I56</f>
        <v>124503.74334999999</v>
      </c>
    </row>
    <row r="52" spans="1:3" x14ac:dyDescent="0.35">
      <c r="A52" s="17">
        <f>Data!A57</f>
        <v>44512</v>
      </c>
      <c r="B52" s="2">
        <f>Data!H57</f>
        <v>8.6474999999999996E-2</v>
      </c>
      <c r="C52" s="2">
        <f>Data!I57</f>
        <v>37694.452499999999</v>
      </c>
    </row>
    <row r="53" spans="1:3" x14ac:dyDescent="0.35">
      <c r="A53" s="17">
        <f>Data!A58</f>
        <v>44513</v>
      </c>
      <c r="B53" s="2">
        <f>Data!H58</f>
        <v>8.5024999999999989E-2</v>
      </c>
      <c r="C53" s="2">
        <f>Data!I58</f>
        <v>79517.165524999989</v>
      </c>
    </row>
    <row r="54" spans="1:3" x14ac:dyDescent="0.35">
      <c r="A54" s="17">
        <f>Data!A59</f>
        <v>44516</v>
      </c>
      <c r="B54" s="2">
        <f>Data!H59</f>
        <v>8.9575000000000002E-2</v>
      </c>
      <c r="C54" s="2">
        <f>Data!I59</f>
        <v>141404.70735000001</v>
      </c>
    </row>
    <row r="55" spans="1:3" x14ac:dyDescent="0.35">
      <c r="A55" s="17">
        <f>Data!A60</f>
        <v>44517</v>
      </c>
      <c r="B55" s="2">
        <f>Data!H60</f>
        <v>8.912500000000001E-2</v>
      </c>
      <c r="C55" s="2">
        <f>Data!I60</f>
        <v>110733.17800000001</v>
      </c>
    </row>
    <row r="56" spans="1:3" x14ac:dyDescent="0.35">
      <c r="A56" s="17">
        <f>Data!A61</f>
        <v>44518</v>
      </c>
      <c r="B56" s="2">
        <f>Data!H61</f>
        <v>8.6425000000000002E-2</v>
      </c>
      <c r="C56" s="2">
        <f>Data!I61</f>
        <v>85467.497425000009</v>
      </c>
    </row>
    <row r="57" spans="1:3" x14ac:dyDescent="0.35">
      <c r="A57" s="17">
        <f>Data!A62</f>
        <v>44519</v>
      </c>
      <c r="B57" s="2">
        <f>Data!H62</f>
        <v>8.6724999999999997E-2</v>
      </c>
      <c r="C57" s="2">
        <f>Data!I62</f>
        <v>52392.133549999999</v>
      </c>
    </row>
    <row r="58" spans="1:3" x14ac:dyDescent="0.35">
      <c r="A58" s="17">
        <f>Data!A63</f>
        <v>44520</v>
      </c>
      <c r="B58" s="2">
        <f>Data!H63</f>
        <v>8.4400000000000017E-2</v>
      </c>
      <c r="C58" s="2">
        <f>Data!I63</f>
        <v>60615.320400000011</v>
      </c>
    </row>
    <row r="59" spans="1:3" x14ac:dyDescent="0.35">
      <c r="A59" s="17">
        <f>Data!A64</f>
        <v>44523</v>
      </c>
      <c r="B59" s="2">
        <f>Data!H64</f>
        <v>8.3850000000000008E-2</v>
      </c>
      <c r="C59" s="2">
        <f>Data!I64</f>
        <v>89515.073700000008</v>
      </c>
    </row>
    <row r="60" spans="1:3" x14ac:dyDescent="0.35">
      <c r="A60" s="17">
        <f>Data!A65</f>
        <v>44524</v>
      </c>
      <c r="B60" s="2">
        <f>Data!H65</f>
        <v>8.5900000000000004E-2</v>
      </c>
      <c r="C60" s="2">
        <f>Data!I65</f>
        <v>94835.060299999997</v>
      </c>
    </row>
    <row r="61" spans="1:3" x14ac:dyDescent="0.35">
      <c r="A61" s="17">
        <f>Data!A66</f>
        <v>44525</v>
      </c>
      <c r="B61" s="2">
        <f>Data!H66</f>
        <v>8.7900000000000006E-2</v>
      </c>
      <c r="C61" s="2">
        <f>Data!I66</f>
        <v>58141.015500000001</v>
      </c>
    </row>
    <row r="62" spans="1:3" x14ac:dyDescent="0.35">
      <c r="A62" s="17">
        <f>Data!A67</f>
        <v>44527</v>
      </c>
      <c r="B62" s="2">
        <f>Data!H67</f>
        <v>8.8024999999999992E-2</v>
      </c>
      <c r="C62" s="2">
        <f>Data!I67</f>
        <v>37367.932874999999</v>
      </c>
    </row>
    <row r="63" spans="1:3" x14ac:dyDescent="0.35">
      <c r="A63" s="17">
        <f>Data!A68</f>
        <v>44530</v>
      </c>
      <c r="B63" s="2">
        <f>Data!H68</f>
        <v>8.7625000000000008E-2</v>
      </c>
      <c r="C63" s="2">
        <f>Data!I68</f>
        <v>65312.257625000006</v>
      </c>
    </row>
    <row r="64" spans="1:3" x14ac:dyDescent="0.35">
      <c r="A64" s="17">
        <f>Data!A69</f>
        <v>44531</v>
      </c>
      <c r="B64" s="2">
        <f>Data!H69</f>
        <v>8.7000000000000008E-2</v>
      </c>
      <c r="C64" s="2">
        <f>Data!I69</f>
        <v>48603.855000000003</v>
      </c>
    </row>
    <row r="65" spans="1:3" x14ac:dyDescent="0.35">
      <c r="A65" s="17">
        <f>Data!A70</f>
        <v>44532</v>
      </c>
      <c r="B65" s="2">
        <f>Data!H70</f>
        <v>8.5275000000000004E-2</v>
      </c>
      <c r="C65" s="2">
        <f>Data!I70</f>
        <v>72192.876975000006</v>
      </c>
    </row>
    <row r="66" spans="1:3" x14ac:dyDescent="0.35">
      <c r="A66" s="17">
        <f>Data!A71</f>
        <v>44533</v>
      </c>
      <c r="B66" s="2">
        <f>Data!H71</f>
        <v>8.4199999999999997E-2</v>
      </c>
      <c r="C66" s="2">
        <f>Data!I71</f>
        <v>54147.083399999996</v>
      </c>
    </row>
    <row r="67" spans="1:3" x14ac:dyDescent="0.35">
      <c r="A67" s="17">
        <f>Data!A72</f>
        <v>44534</v>
      </c>
      <c r="B67" s="2">
        <f>Data!H72</f>
        <v>8.4199999999999997E-2</v>
      </c>
      <c r="C67" s="2">
        <f>Data!I72</f>
        <v>57683.1466</v>
      </c>
    </row>
    <row r="68" spans="1:3" x14ac:dyDescent="0.35">
      <c r="A68" s="17">
        <f>Data!A73</f>
        <v>44537</v>
      </c>
      <c r="B68" s="2">
        <f>Data!H73</f>
        <v>8.4550000000000014E-2</v>
      </c>
      <c r="C68" s="2">
        <f>Data!I73</f>
        <v>43007.794850000006</v>
      </c>
    </row>
    <row r="69" spans="1:3" x14ac:dyDescent="0.35">
      <c r="A69" s="17">
        <f>Data!A74</f>
        <v>44538</v>
      </c>
      <c r="B69" s="2">
        <f>Data!H74</f>
        <v>8.5425000000000001E-2</v>
      </c>
      <c r="C69" s="2">
        <f>Data!I74</f>
        <v>96849.995775000003</v>
      </c>
    </row>
    <row r="70" spans="1:3" x14ac:dyDescent="0.35">
      <c r="A70" s="17">
        <f>Data!A75</f>
        <v>44539</v>
      </c>
      <c r="B70" s="2">
        <f>Data!H75</f>
        <v>8.7749999999999995E-2</v>
      </c>
      <c r="C70" s="2">
        <f>Data!I75</f>
        <v>54768.635999999999</v>
      </c>
    </row>
    <row r="71" spans="1:3" x14ac:dyDescent="0.35">
      <c r="A71" s="17">
        <f>Data!A76</f>
        <v>44540</v>
      </c>
      <c r="B71" s="2">
        <f>Data!H76</f>
        <v>8.7150000000000005E-2</v>
      </c>
      <c r="C71" s="2">
        <f>Data!I76</f>
        <v>34142.232600000003</v>
      </c>
    </row>
    <row r="72" spans="1:3" x14ac:dyDescent="0.35">
      <c r="A72" s="17">
        <f>Data!A77</f>
        <v>44541</v>
      </c>
      <c r="B72" s="2">
        <f>Data!H77</f>
        <v>8.622500000000001E-2</v>
      </c>
      <c r="C72" s="2">
        <f>Data!I77</f>
        <v>39789.560950000006</v>
      </c>
    </row>
    <row r="73" spans="1:3" x14ac:dyDescent="0.35">
      <c r="A73" s="17">
        <f>Data!A78</f>
        <v>44544</v>
      </c>
      <c r="B73" s="2">
        <f>Data!H78</f>
        <v>8.635000000000001E-2</v>
      </c>
      <c r="C73" s="2">
        <f>Data!I78</f>
        <v>39251.946800000005</v>
      </c>
    </row>
    <row r="74" spans="1:3" x14ac:dyDescent="0.35">
      <c r="A74" s="17">
        <f>Data!A79</f>
        <v>44545</v>
      </c>
      <c r="B74" s="2">
        <f>Data!H79</f>
        <v>8.6650000000000005E-2</v>
      </c>
      <c r="C74" s="2">
        <f>Data!I79</f>
        <v>82430.664900000003</v>
      </c>
    </row>
    <row r="75" spans="1:3" x14ac:dyDescent="0.35">
      <c r="A75" s="17">
        <f>Data!A80</f>
        <v>44546</v>
      </c>
      <c r="B75" s="2">
        <f>Data!H80</f>
        <v>8.357500000000001E-2</v>
      </c>
      <c r="C75" s="2">
        <f>Data!I80</f>
        <v>45642.814750000005</v>
      </c>
    </row>
    <row r="76" spans="1:3" x14ac:dyDescent="0.35">
      <c r="A76" s="17">
        <f>Data!A81</f>
        <v>44547</v>
      </c>
      <c r="B76" s="2">
        <f>Data!H81</f>
        <v>8.3150000000000002E-2</v>
      </c>
      <c r="C76" s="2">
        <f>Data!I81</f>
        <v>52699.389049999998</v>
      </c>
    </row>
    <row r="77" spans="1:3" x14ac:dyDescent="0.35">
      <c r="A77" s="17">
        <f>Data!A82</f>
        <v>44548</v>
      </c>
      <c r="B77" s="2">
        <f>Data!H82</f>
        <v>8.4500000000000006E-2</v>
      </c>
      <c r="C77" s="2">
        <f>Data!I82</f>
        <v>23768.075500000003</v>
      </c>
    </row>
    <row r="78" spans="1:3" x14ac:dyDescent="0.35">
      <c r="A78" s="17">
        <f>Data!A83</f>
        <v>44551</v>
      </c>
      <c r="B78" s="2">
        <f>Data!H83</f>
        <v>8.3125000000000004E-2</v>
      </c>
      <c r="C78" s="2">
        <f>Data!I83</f>
        <v>55709.045000000006</v>
      </c>
    </row>
    <row r="79" spans="1:3" x14ac:dyDescent="0.35">
      <c r="A79" s="17">
        <f>Data!A84</f>
        <v>44552</v>
      </c>
      <c r="B79" s="2">
        <f>Data!H84</f>
        <v>8.3525000000000002E-2</v>
      </c>
      <c r="C79" s="2">
        <f>Data!I84</f>
        <v>47174.001225</v>
      </c>
    </row>
    <row r="80" spans="1:3" x14ac:dyDescent="0.35">
      <c r="A80" s="17">
        <f>Data!A85</f>
        <v>44553</v>
      </c>
      <c r="B80" s="2">
        <f>Data!H85</f>
        <v>8.4150000000000003E-2</v>
      </c>
      <c r="C80" s="2">
        <f>Data!I85</f>
        <v>27651.185100000002</v>
      </c>
    </row>
    <row r="81" spans="1:3" x14ac:dyDescent="0.35">
      <c r="A81" s="17">
        <f>Data!A86</f>
        <v>44555</v>
      </c>
      <c r="B81" s="2">
        <f>Data!H86</f>
        <v>8.4000000000000005E-2</v>
      </c>
      <c r="C81" s="2">
        <f>Data!I86</f>
        <v>13943.328000000001</v>
      </c>
    </row>
    <row r="82" spans="1:3" x14ac:dyDescent="0.35">
      <c r="A82" s="17">
        <f>Data!A87</f>
        <v>44558</v>
      </c>
      <c r="B82" s="2">
        <f>Data!H87</f>
        <v>8.3775000000000002E-2</v>
      </c>
      <c r="C82" s="2">
        <f>Data!I87</f>
        <v>68602.928625</v>
      </c>
    </row>
    <row r="83" spans="1:3" x14ac:dyDescent="0.35">
      <c r="A83" s="17">
        <f>Data!A88</f>
        <v>44559</v>
      </c>
      <c r="B83" s="2">
        <f>Data!H88</f>
        <v>8.3700000000000011E-2</v>
      </c>
      <c r="C83" s="2">
        <f>Data!I88</f>
        <v>21379.491000000002</v>
      </c>
    </row>
    <row r="84" spans="1:3" x14ac:dyDescent="0.35">
      <c r="A84" s="17">
        <f>Data!A89</f>
        <v>44560</v>
      </c>
      <c r="B84" s="2">
        <f>Data!H89</f>
        <v>8.3500000000000005E-2</v>
      </c>
      <c r="C84" s="2">
        <f>Data!I89</f>
        <v>68412.885999999999</v>
      </c>
    </row>
    <row r="85" spans="1:3" x14ac:dyDescent="0.35">
      <c r="A85" s="17">
        <f>Data!A90</f>
        <v>44562</v>
      </c>
      <c r="B85" s="2">
        <f>Data!H90</f>
        <v>8.4324999999999997E-2</v>
      </c>
      <c r="C85" s="2">
        <f>Data!I90</f>
        <v>37174.170299999998</v>
      </c>
    </row>
    <row r="86" spans="1:3" x14ac:dyDescent="0.35">
      <c r="A86" s="17">
        <f>Data!A91</f>
        <v>44565</v>
      </c>
      <c r="B86" s="2">
        <f>Data!H91</f>
        <v>8.4250000000000005E-2</v>
      </c>
      <c r="C86" s="2">
        <f>Data!I91</f>
        <v>34987.340000000004</v>
      </c>
    </row>
    <row r="87" spans="1:3" x14ac:dyDescent="0.35">
      <c r="A87" s="17">
        <f>Data!A92</f>
        <v>44566</v>
      </c>
      <c r="B87" s="2">
        <f>Data!H92</f>
        <v>8.4474999999999995E-2</v>
      </c>
      <c r="C87" s="2">
        <f>Data!I92</f>
        <v>53109.094599999997</v>
      </c>
    </row>
    <row r="88" spans="1:3" x14ac:dyDescent="0.35">
      <c r="A88" s="17">
        <f>Data!A93</f>
        <v>44567</v>
      </c>
      <c r="B88" s="2">
        <f>Data!H93</f>
        <v>8.5350000000000009E-2</v>
      </c>
      <c r="C88" s="2">
        <f>Data!I93</f>
        <v>16772.299200000001</v>
      </c>
    </row>
    <row r="89" spans="1:3" x14ac:dyDescent="0.35">
      <c r="A89" s="17">
        <f>Data!A94</f>
        <v>44568</v>
      </c>
      <c r="B89" s="2">
        <f>Data!H94</f>
        <v>8.282500000000001E-2</v>
      </c>
      <c r="C89" s="2">
        <f>Data!I94</f>
        <v>127274.19580000002</v>
      </c>
    </row>
    <row r="90" spans="1:3" x14ac:dyDescent="0.35">
      <c r="A90" s="17">
        <f>Data!A95</f>
        <v>44569</v>
      </c>
      <c r="B90" s="2">
        <f>Data!H95</f>
        <v>8.2500000000000004E-2</v>
      </c>
      <c r="C90" s="2">
        <f>Data!I95</f>
        <v>34510.904999999999</v>
      </c>
    </row>
    <row r="91" spans="1:3" x14ac:dyDescent="0.35">
      <c r="A91" s="17">
        <f>Data!A96</f>
        <v>44572</v>
      </c>
      <c r="B91" s="2">
        <f>Data!H96</f>
        <v>8.115E-2</v>
      </c>
      <c r="C91" s="2">
        <f>Data!I96</f>
        <v>92662.101299999995</v>
      </c>
    </row>
    <row r="92" spans="1:3" x14ac:dyDescent="0.35">
      <c r="A92" s="17">
        <f>Data!A97</f>
        <v>44573</v>
      </c>
      <c r="B92" s="2">
        <f>Data!H97</f>
        <v>8.3900000000000002E-2</v>
      </c>
      <c r="C92" s="2">
        <f>Data!I97</f>
        <v>239222.47590000002</v>
      </c>
    </row>
    <row r="93" spans="1:3" x14ac:dyDescent="0.35">
      <c r="A93" s="17">
        <f>Data!A98</f>
        <v>44574</v>
      </c>
      <c r="B93" s="2">
        <f>Data!H98</f>
        <v>8.4150000000000003E-2</v>
      </c>
      <c r="C93" s="2">
        <f>Data!I98</f>
        <v>176343.81435</v>
      </c>
    </row>
    <row r="94" spans="1:3" x14ac:dyDescent="0.35">
      <c r="A94" s="17">
        <f>Data!A99</f>
        <v>44575</v>
      </c>
      <c r="B94" s="2">
        <f>Data!H99</f>
        <v>8.3800000000000013E-2</v>
      </c>
      <c r="C94" s="2">
        <f>Data!I99</f>
        <v>68385.576600000015</v>
      </c>
    </row>
    <row r="95" spans="1:3" x14ac:dyDescent="0.35">
      <c r="A95" s="17">
        <f>Data!A100</f>
        <v>44576</v>
      </c>
      <c r="B95" s="2">
        <f>Data!H100</f>
        <v>8.4725000000000009E-2</v>
      </c>
      <c r="C95" s="2">
        <f>Data!I100</f>
        <v>66195.049425000005</v>
      </c>
    </row>
    <row r="96" spans="1:3" x14ac:dyDescent="0.35">
      <c r="A96" s="17">
        <f>Data!A101</f>
        <v>44580</v>
      </c>
      <c r="B96" s="2">
        <f>Data!H101</f>
        <v>8.4400000000000003E-2</v>
      </c>
      <c r="C96" s="2">
        <f>Data!I101</f>
        <v>137214.31280000001</v>
      </c>
    </row>
    <row r="97" spans="1:3" x14ac:dyDescent="0.35">
      <c r="A97" s="17">
        <f>Data!A102</f>
        <v>44581</v>
      </c>
      <c r="B97" s="2">
        <f>Data!H102</f>
        <v>8.2574999999999996E-2</v>
      </c>
      <c r="C97" s="2">
        <f>Data!I102</f>
        <v>44944.664174999998</v>
      </c>
    </row>
    <row r="98" spans="1:3" x14ac:dyDescent="0.35">
      <c r="A98" s="17">
        <f>Data!A103</f>
        <v>44582</v>
      </c>
      <c r="B98" s="2">
        <f>Data!H103</f>
        <v>8.2100000000000006E-2</v>
      </c>
      <c r="C98" s="2">
        <f>Data!I103</f>
        <v>132713.7469</v>
      </c>
    </row>
    <row r="99" spans="1:3" x14ac:dyDescent="0.35">
      <c r="A99" s="17">
        <f>Data!A104</f>
        <v>44583</v>
      </c>
      <c r="B99" s="2">
        <f>Data!H104</f>
        <v>8.2500000000000004E-2</v>
      </c>
      <c r="C99" s="2">
        <f>Data!I104</f>
        <v>90883.732499999998</v>
      </c>
    </row>
    <row r="100" spans="1:3" x14ac:dyDescent="0.35">
      <c r="A100" s="17">
        <f>Data!A105</f>
        <v>44586</v>
      </c>
      <c r="B100" s="2">
        <f>Data!H105</f>
        <v>8.2449999999999996E-2</v>
      </c>
      <c r="C100" s="2">
        <f>Data!I105</f>
        <v>44491.339199999995</v>
      </c>
    </row>
    <row r="101" spans="1:3" x14ac:dyDescent="0.35">
      <c r="A101" s="17">
        <f>Data!A106</f>
        <v>44587</v>
      </c>
      <c r="B101" s="2">
        <f>Data!H106</f>
        <v>8.1125000000000003E-2</v>
      </c>
      <c r="C101" s="2">
        <f>Data!I106</f>
        <v>53682.52175</v>
      </c>
    </row>
    <row r="102" spans="1:3" x14ac:dyDescent="0.35">
      <c r="A102" s="17">
        <f>Data!A107</f>
        <v>44588</v>
      </c>
      <c r="B102" s="2">
        <f>Data!H107</f>
        <v>8.1375000000000003E-2</v>
      </c>
      <c r="C102" s="2">
        <f>Data!I107</f>
        <v>108135.81975000001</v>
      </c>
    </row>
    <row r="103" spans="1:3" x14ac:dyDescent="0.35">
      <c r="A103" s="17">
        <f>Data!A108</f>
        <v>44589</v>
      </c>
      <c r="B103" s="2">
        <f>Data!H108</f>
        <v>8.0600000000000005E-2</v>
      </c>
      <c r="C103" s="2">
        <f>Data!I108</f>
        <v>62911.604600000006</v>
      </c>
    </row>
    <row r="104" spans="1:3" x14ac:dyDescent="0.35">
      <c r="A104" s="17">
        <f>Data!A109</f>
        <v>44590</v>
      </c>
      <c r="B104" s="2">
        <f>Data!H109</f>
        <v>8.030000000000001E-2</v>
      </c>
      <c r="C104" s="2">
        <f>Data!I109</f>
        <v>46868.781300000002</v>
      </c>
    </row>
    <row r="105" spans="1:3" x14ac:dyDescent="0.35">
      <c r="A105" s="17">
        <f>Data!A110</f>
        <v>44593</v>
      </c>
      <c r="B105" s="2">
        <f>Data!H110</f>
        <v>8.3274999999999988E-2</v>
      </c>
      <c r="C105" s="2">
        <f>Data!I110</f>
        <v>136645.53112499998</v>
      </c>
    </row>
    <row r="106" spans="1:3" x14ac:dyDescent="0.35">
      <c r="A106" s="17">
        <f>Data!A111</f>
        <v>44594</v>
      </c>
      <c r="B106" s="2">
        <f>Data!H111</f>
        <v>7.980000000000001E-2</v>
      </c>
      <c r="C106" s="2">
        <f>Data!I111</f>
        <v>118958.89740000002</v>
      </c>
    </row>
    <row r="107" spans="1:3" x14ac:dyDescent="0.35">
      <c r="A107" s="17">
        <f>Data!A112</f>
        <v>44595</v>
      </c>
      <c r="B107" s="2">
        <f>Data!H112</f>
        <v>7.9024999999999998E-2</v>
      </c>
      <c r="C107" s="2">
        <f>Data!I112</f>
        <v>20799.617074999998</v>
      </c>
    </row>
    <row r="108" spans="1:3" x14ac:dyDescent="0.35">
      <c r="A108" s="17">
        <f>Data!A113</f>
        <v>44596</v>
      </c>
      <c r="B108" s="2">
        <f>Data!H113</f>
        <v>7.8850000000000003E-2</v>
      </c>
      <c r="C108" s="2">
        <f>Data!I113</f>
        <v>51511.2857</v>
      </c>
    </row>
    <row r="109" spans="1:3" x14ac:dyDescent="0.35">
      <c r="A109" s="17">
        <f>Data!A114</f>
        <v>44597</v>
      </c>
      <c r="B109" s="2">
        <f>Data!H114</f>
        <v>7.7899999999999997E-2</v>
      </c>
      <c r="C109" s="2">
        <f>Data!I114</f>
        <v>74426.672699999996</v>
      </c>
    </row>
    <row r="110" spans="1:3" x14ac:dyDescent="0.35">
      <c r="A110" s="17">
        <f>Data!A115</f>
        <v>44600</v>
      </c>
      <c r="B110" s="2">
        <f>Data!H115</f>
        <v>8.0575000000000008E-2</v>
      </c>
      <c r="C110" s="2">
        <f>Data!I115</f>
        <v>165422.89225</v>
      </c>
    </row>
    <row r="111" spans="1:3" x14ac:dyDescent="0.35">
      <c r="A111" s="17">
        <f>Data!A116</f>
        <v>44601</v>
      </c>
      <c r="B111" s="2">
        <f>Data!H116</f>
        <v>8.2400000000000001E-2</v>
      </c>
      <c r="C111" s="2">
        <f>Data!I116</f>
        <v>90463.004799999995</v>
      </c>
    </row>
    <row r="112" spans="1:3" x14ac:dyDescent="0.35">
      <c r="A112" s="17">
        <f>Data!A117</f>
        <v>44602</v>
      </c>
      <c r="B112" s="2">
        <f>Data!H117</f>
        <v>8.1000000000000003E-2</v>
      </c>
      <c r="C112" s="2">
        <f>Data!I117</f>
        <v>75690.126000000004</v>
      </c>
    </row>
    <row r="113" spans="1:3" x14ac:dyDescent="0.35">
      <c r="A113" s="17">
        <f>Data!A118</f>
        <v>44603</v>
      </c>
      <c r="B113" s="2">
        <f>Data!H118</f>
        <v>8.0500000000000002E-2</v>
      </c>
      <c r="C113" s="2">
        <f>Data!I118</f>
        <v>37558.160499999998</v>
      </c>
    </row>
    <row r="114" spans="1:3" x14ac:dyDescent="0.35">
      <c r="A114" s="17">
        <f>Data!A119</f>
        <v>44604</v>
      </c>
      <c r="B114" s="2">
        <f>Data!H119</f>
        <v>8.0225000000000005E-2</v>
      </c>
      <c r="C114" s="2">
        <f>Data!I119</f>
        <v>44924.716400000005</v>
      </c>
    </row>
    <row r="115" spans="1:3" x14ac:dyDescent="0.35">
      <c r="A115" s="17">
        <f>Data!A120</f>
        <v>44608</v>
      </c>
      <c r="B115" s="2">
        <f>Data!H120</f>
        <v>8.6074999999999999E-2</v>
      </c>
      <c r="C115" s="2">
        <f>Data!I120</f>
        <v>549122.43457499996</v>
      </c>
    </row>
    <row r="116" spans="1:3" x14ac:dyDescent="0.35">
      <c r="A116" s="17">
        <f>Data!A121</f>
        <v>44609</v>
      </c>
      <c r="B116" s="2">
        <f>Data!H121</f>
        <v>8.9724999999999999E-2</v>
      </c>
      <c r="C116" s="2">
        <f>Data!I121</f>
        <v>298347.64815000002</v>
      </c>
    </row>
    <row r="117" spans="1:3" x14ac:dyDescent="0.35">
      <c r="A117" s="17">
        <f>Data!A122</f>
        <v>44610</v>
      </c>
      <c r="B117" s="2">
        <f>Data!H122</f>
        <v>9.2475000000000002E-2</v>
      </c>
      <c r="C117" s="2">
        <f>Data!I122</f>
        <v>231061.54905</v>
      </c>
    </row>
    <row r="118" spans="1:3" x14ac:dyDescent="0.35">
      <c r="A118" s="17">
        <f>Data!A123</f>
        <v>44611</v>
      </c>
      <c r="B118" s="2">
        <f>Data!H123</f>
        <v>0.10379999999999999</v>
      </c>
      <c r="C118" s="2">
        <f>Data!I123</f>
        <v>429796.35599999997</v>
      </c>
    </row>
    <row r="119" spans="1:3" x14ac:dyDescent="0.35">
      <c r="A119" s="17">
        <f>Data!A124</f>
        <v>44614</v>
      </c>
      <c r="B119" s="2">
        <f>Data!H124</f>
        <v>0.12225</v>
      </c>
      <c r="C119" s="2">
        <f>Data!I124</f>
        <v>1487431.6425000001</v>
      </c>
    </row>
    <row r="120" spans="1:3" x14ac:dyDescent="0.35">
      <c r="A120" s="17">
        <f>Data!A125</f>
        <v>44615</v>
      </c>
      <c r="B120" s="2">
        <f>Data!H125</f>
        <v>0.13527499999999998</v>
      </c>
      <c r="C120" s="2">
        <f>Data!I125</f>
        <v>1397302.8212499998</v>
      </c>
    </row>
    <row r="121" spans="1:3" x14ac:dyDescent="0.35">
      <c r="A121" s="17">
        <f>Data!A126</f>
        <v>44616</v>
      </c>
      <c r="B121" s="2">
        <f>Data!H126</f>
        <v>0.13905000000000001</v>
      </c>
      <c r="C121" s="2">
        <f>Data!I126</f>
        <v>1071432.39375</v>
      </c>
    </row>
    <row r="122" spans="1:3" x14ac:dyDescent="0.35">
      <c r="A122" s="17">
        <f>Data!A127</f>
        <v>44617</v>
      </c>
      <c r="B122" s="2">
        <f>Data!H127</f>
        <v>0.14465</v>
      </c>
      <c r="C122" s="2">
        <f>Data!I127</f>
        <v>783209.01615000004</v>
      </c>
    </row>
    <row r="123" spans="1:3" x14ac:dyDescent="0.35">
      <c r="A123" s="17">
        <f>Data!A128</f>
        <v>44618</v>
      </c>
      <c r="B123" s="2">
        <f>Data!H128</f>
        <v>0.14429999999999998</v>
      </c>
      <c r="C123" s="2">
        <f>Data!I128</f>
        <v>299250.20579999994</v>
      </c>
    </row>
    <row r="124" spans="1:3" x14ac:dyDescent="0.35">
      <c r="A124" s="17">
        <f>Data!A129</f>
        <v>44621</v>
      </c>
      <c r="B124" s="2">
        <f>Data!H129</f>
        <v>0.14069999999999999</v>
      </c>
      <c r="C124" s="2">
        <f>Data!I129</f>
        <v>356993.88899999997</v>
      </c>
    </row>
    <row r="125" spans="1:3" x14ac:dyDescent="0.35">
      <c r="A125" s="17">
        <f>Data!A130</f>
        <v>44622</v>
      </c>
      <c r="B125" s="2">
        <f>Data!H130</f>
        <v>0.13242500000000001</v>
      </c>
      <c r="C125" s="2">
        <f>Data!I130</f>
        <v>237142.71725000002</v>
      </c>
    </row>
    <row r="126" spans="1:3" x14ac:dyDescent="0.35">
      <c r="A126" s="17"/>
    </row>
    <row r="127" spans="1:3" x14ac:dyDescent="0.35">
      <c r="A127" s="17"/>
    </row>
    <row r="128" spans="1:3" x14ac:dyDescent="0.35">
      <c r="A128" s="17"/>
    </row>
    <row r="129" spans="1:1" x14ac:dyDescent="0.35">
      <c r="A129" s="17"/>
    </row>
    <row r="130" spans="1:1" x14ac:dyDescent="0.35">
      <c r="A130" s="17"/>
    </row>
    <row r="131" spans="1:1" x14ac:dyDescent="0.35">
      <c r="A131" s="17"/>
    </row>
    <row r="132" spans="1:1" x14ac:dyDescent="0.35">
      <c r="A132" s="17"/>
    </row>
    <row r="133" spans="1:1" x14ac:dyDescent="0.35">
      <c r="A133" s="17"/>
    </row>
    <row r="134" spans="1:1" x14ac:dyDescent="0.35">
      <c r="A134" s="17"/>
    </row>
    <row r="135" spans="1:1" x14ac:dyDescent="0.35">
      <c r="A135" s="17"/>
    </row>
    <row r="136" spans="1:1" x14ac:dyDescent="0.35">
      <c r="A136" s="17"/>
    </row>
    <row r="137" spans="1:1" x14ac:dyDescent="0.35">
      <c r="A137" s="17"/>
    </row>
    <row r="138" spans="1:1" x14ac:dyDescent="0.35">
      <c r="A138" s="17"/>
    </row>
    <row r="139" spans="1:1" x14ac:dyDescent="0.35">
      <c r="A139" s="17"/>
    </row>
    <row r="140" spans="1:1" x14ac:dyDescent="0.35">
      <c r="A140" s="17"/>
    </row>
    <row r="141" spans="1:1" x14ac:dyDescent="0.35">
      <c r="A141" s="17"/>
    </row>
    <row r="142" spans="1:1" x14ac:dyDescent="0.35">
      <c r="A142" s="17"/>
    </row>
    <row r="143" spans="1:1" x14ac:dyDescent="0.35">
      <c r="A143" s="17"/>
    </row>
    <row r="144" spans="1:1" x14ac:dyDescent="0.35">
      <c r="A144" s="17"/>
    </row>
    <row r="145" spans="1:1" x14ac:dyDescent="0.35">
      <c r="A145" s="17"/>
    </row>
    <row r="146" spans="1:1" x14ac:dyDescent="0.35">
      <c r="A146" s="17"/>
    </row>
  </sheetData>
  <pageMargins left="0.7" right="0.7" top="0.75" bottom="0.75" header="0.3" footer="0.3"/>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2"/>
  <sheetViews>
    <sheetView workbookViewId="0">
      <selection sqref="A1:A2"/>
    </sheetView>
  </sheetViews>
  <sheetFormatPr defaultColWidth="8.81640625" defaultRowHeight="14.5" x14ac:dyDescent="0.35"/>
  <sheetData>
    <row r="1" spans="1:1" x14ac:dyDescent="0.35">
      <c r="A1" t="s">
        <v>47</v>
      </c>
    </row>
    <row r="2" spans="1:1" x14ac:dyDescent="0.35">
      <c r="A2" t="s">
        <v>35</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KBLB</vt:lpstr>
      <vt:lpstr>Data</vt:lpstr>
      <vt:lpstr>Filtered Data</vt:lpstr>
      <vt:lpstr>10QDropDownList</vt:lpstr>
      <vt:lpstr>List10q10k</vt:lpstr>
      <vt:lpstr>KBLB!Print_Area</vt:lpstr>
    </vt:vector>
  </TitlesOfParts>
  <Company>University at Buffalo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dc:creator>
  <cp:lastModifiedBy>Chinedu Okeke</cp:lastModifiedBy>
  <cp:lastPrinted>2015-06-03T17:54:41Z</cp:lastPrinted>
  <dcterms:created xsi:type="dcterms:W3CDTF">2015-05-20T13:49:55Z</dcterms:created>
  <dcterms:modified xsi:type="dcterms:W3CDTF">2026-03-05T19:59:46Z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af85ac58-5e95-44fa-87f0-dad5d6689df9</vt:lpwstr>
  </property>
</Properties>
</file>